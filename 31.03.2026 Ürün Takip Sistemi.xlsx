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firat\OneDrive\Masaüstü\"/>
    </mc:Choice>
  </mc:AlternateContent>
  <xr:revisionPtr revIDLastSave="0" documentId="13_ncr:1_{640E77EC-FAB1-4506-B47C-93872FD5FBD5}" xr6:coauthVersionLast="47" xr6:coauthVersionMax="47" xr10:uidLastSave="{00000000-0000-0000-0000-000000000000}"/>
  <bookViews>
    <workbookView xWindow="-108" yWindow="-108" windowWidth="23256" windowHeight="12456" xr2:uid="{FAE52752-A881-4B4B-BD70-BF5AB669AE35}"/>
  </bookViews>
  <sheets>
    <sheet name="------- Takip Sistemi -------" sheetId="35" r:id="rId1"/>
  </sheets>
  <definedNames>
    <definedName name="_xlnm._FilterDatabase" localSheetId="0" hidden="1">'------- Takip Sistemi -------'!$A$1:$AB$149</definedName>
    <definedName name="_xlnm.Print_Area" localSheetId="0">'------- Takip Sistemi -------'!$A$1:$AB$149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41" i="35" l="1"/>
  <c r="AA128" i="35"/>
  <c r="AA127" i="35"/>
  <c r="AA126" i="35"/>
  <c r="AA125" i="35"/>
  <c r="AA124" i="35"/>
  <c r="AA123" i="35"/>
  <c r="AA122" i="35"/>
  <c r="AA121" i="35"/>
  <c r="AA120" i="35"/>
  <c r="AA109" i="35"/>
  <c r="AA108" i="35"/>
  <c r="H141" i="35"/>
  <c r="H128" i="35"/>
  <c r="H127" i="35"/>
  <c r="H126" i="35"/>
  <c r="H125" i="35"/>
  <c r="H124" i="35"/>
  <c r="H123" i="35"/>
  <c r="H122" i="35"/>
  <c r="H121" i="35"/>
  <c r="H109" i="35"/>
  <c r="H108" i="35"/>
  <c r="F141" i="35"/>
  <c r="F128" i="35"/>
  <c r="F127" i="35"/>
  <c r="F126" i="35"/>
  <c r="F125" i="35"/>
  <c r="F124" i="35"/>
  <c r="F123" i="35"/>
  <c r="F122" i="35"/>
  <c r="F121" i="35"/>
  <c r="F109" i="35"/>
  <c r="F108" i="35"/>
  <c r="A141" i="35"/>
  <c r="A128" i="35"/>
  <c r="A127" i="35"/>
  <c r="A126" i="35"/>
  <c r="A125" i="35"/>
  <c r="A124" i="35"/>
  <c r="A123" i="35"/>
  <c r="A122" i="35"/>
  <c r="A121" i="35"/>
  <c r="A109" i="35"/>
  <c r="A108" i="35"/>
  <c r="H120" i="35"/>
  <c r="F120" i="35"/>
  <c r="A120" i="35"/>
  <c r="AA149" i="35"/>
  <c r="AA148" i="35"/>
  <c r="AA147" i="35"/>
  <c r="AA146" i="35"/>
  <c r="AA145" i="35"/>
  <c r="AA144" i="35"/>
  <c r="AA143" i="35"/>
  <c r="AA142" i="35"/>
  <c r="AA140" i="35"/>
  <c r="AA139" i="35"/>
  <c r="AA138" i="35"/>
  <c r="AA137" i="35"/>
  <c r="AA136" i="35"/>
  <c r="AA135" i="35"/>
  <c r="AA134" i="35"/>
  <c r="AA133" i="35"/>
  <c r="AA132" i="35"/>
  <c r="AA131" i="35"/>
  <c r="AA130" i="35"/>
  <c r="AA129" i="35"/>
  <c r="AA119" i="35"/>
  <c r="AA118" i="35"/>
  <c r="AA117" i="35"/>
  <c r="AA116" i="35"/>
  <c r="AA115" i="35"/>
  <c r="AA114" i="35"/>
  <c r="AA113" i="35"/>
  <c r="AA112" i="35"/>
  <c r="AA111" i="35"/>
  <c r="AA110" i="35"/>
  <c r="AA107" i="35"/>
  <c r="AA104" i="35"/>
  <c r="AA103" i="35"/>
  <c r="AA102" i="35"/>
  <c r="AA101" i="35"/>
  <c r="AA100" i="35"/>
  <c r="AA99" i="35"/>
  <c r="AA98" i="35"/>
  <c r="AA97" i="35"/>
  <c r="AA96" i="35"/>
  <c r="AA95" i="35"/>
  <c r="AA94" i="35"/>
  <c r="AA93" i="35"/>
  <c r="AA92" i="35"/>
  <c r="AA91" i="35"/>
  <c r="AA90" i="35"/>
  <c r="AA89" i="35"/>
  <c r="AA88" i="35"/>
  <c r="AA87" i="35"/>
  <c r="AA86" i="35"/>
  <c r="AA85" i="35"/>
  <c r="AA84" i="35"/>
  <c r="AA83" i="35"/>
  <c r="AA82" i="35"/>
  <c r="AA8" i="35"/>
  <c r="AA30" i="35"/>
  <c r="AA17" i="35"/>
  <c r="AA25" i="35"/>
  <c r="AA35" i="35"/>
  <c r="AA44" i="35"/>
  <c r="AA52" i="35"/>
  <c r="AA57" i="35"/>
  <c r="AA56" i="35"/>
  <c r="AA55" i="35"/>
  <c r="AA54" i="35"/>
  <c r="AA69" i="35"/>
  <c r="AA68" i="35"/>
  <c r="AA67" i="35"/>
  <c r="AA66" i="35"/>
  <c r="AA65" i="35"/>
  <c r="AA64" i="35"/>
  <c r="AA63" i="35"/>
  <c r="AA62" i="35"/>
  <c r="AA61" i="35"/>
  <c r="AA60" i="35"/>
  <c r="AA59" i="35"/>
  <c r="AA79" i="35"/>
  <c r="AA78" i="35"/>
  <c r="AA77" i="35"/>
  <c r="AA76" i="35"/>
  <c r="AA75" i="35"/>
  <c r="AA74" i="35"/>
  <c r="AA73" i="35"/>
  <c r="AA72" i="35"/>
  <c r="AA71" i="35"/>
  <c r="AA80" i="35"/>
  <c r="AA58" i="35"/>
  <c r="AA53" i="35"/>
  <c r="AA51" i="35"/>
  <c r="AA50" i="35"/>
  <c r="AA49" i="35"/>
  <c r="AA47" i="35"/>
  <c r="AA45" i="35"/>
  <c r="AA43" i="35"/>
  <c r="AA42" i="35"/>
  <c r="AA40" i="35"/>
  <c r="AA39" i="35"/>
  <c r="AA38" i="35"/>
  <c r="AA37" i="35"/>
  <c r="AA36" i="35"/>
  <c r="AA34" i="35"/>
  <c r="AA32" i="35"/>
  <c r="AA31" i="35"/>
  <c r="AA24" i="35"/>
  <c r="AA20" i="35"/>
  <c r="AA19" i="35"/>
  <c r="AA18" i="35"/>
  <c r="AA16" i="35"/>
  <c r="AA15" i="35"/>
  <c r="AA14" i="35"/>
  <c r="AA13" i="35"/>
  <c r="AA12" i="35"/>
  <c r="AA10" i="35"/>
  <c r="AA9" i="35"/>
  <c r="H100" i="35"/>
  <c r="F100" i="35"/>
  <c r="H146" i="35"/>
  <c r="F146" i="35"/>
  <c r="H132" i="35"/>
  <c r="F132" i="35"/>
  <c r="H119" i="35"/>
  <c r="F119" i="35"/>
  <c r="H118" i="35"/>
  <c r="F118" i="35"/>
  <c r="H135" i="35"/>
  <c r="F135" i="35"/>
  <c r="H66" i="35"/>
  <c r="F66" i="35"/>
  <c r="H133" i="35"/>
  <c r="F133" i="35"/>
  <c r="H134" i="35"/>
  <c r="F134" i="35"/>
  <c r="H43" i="35"/>
  <c r="F43" i="35"/>
  <c r="H65" i="35"/>
  <c r="F65" i="35"/>
  <c r="H89" i="35"/>
  <c r="F89" i="35"/>
  <c r="H77" i="35"/>
  <c r="F77" i="35"/>
  <c r="H51" i="35"/>
  <c r="F51" i="35"/>
  <c r="H117" i="35"/>
  <c r="F117" i="35"/>
  <c r="H32" i="35"/>
  <c r="F32" i="35"/>
  <c r="H140" i="35"/>
  <c r="F140" i="35"/>
  <c r="H149" i="35"/>
  <c r="F149" i="35"/>
  <c r="H148" i="35"/>
  <c r="F148" i="35"/>
  <c r="H145" i="35"/>
  <c r="F145" i="35"/>
  <c r="H58" i="35"/>
  <c r="F58" i="35"/>
  <c r="H45" i="35"/>
  <c r="F45" i="35"/>
  <c r="H39" i="35"/>
  <c r="F39" i="35"/>
  <c r="H74" i="35"/>
  <c r="F74" i="35"/>
  <c r="H78" i="35"/>
  <c r="F78" i="35"/>
  <c r="H103" i="35"/>
  <c r="F103" i="35"/>
  <c r="H102" i="35"/>
  <c r="F102" i="35"/>
  <c r="H104" i="35"/>
  <c r="F104" i="35"/>
  <c r="H94" i="35"/>
  <c r="F94" i="35"/>
  <c r="H93" i="35"/>
  <c r="F93" i="35"/>
  <c r="H50" i="35"/>
  <c r="F50" i="35"/>
  <c r="H80" i="35"/>
  <c r="F80" i="35"/>
  <c r="H73" i="35"/>
  <c r="F73" i="35"/>
  <c r="H88" i="35"/>
  <c r="F88" i="35"/>
  <c r="H101" i="35"/>
  <c r="F101" i="35"/>
  <c r="H87" i="35"/>
  <c r="F87" i="35"/>
  <c r="H64" i="35"/>
  <c r="F64" i="35"/>
  <c r="H49" i="35"/>
  <c r="F49" i="35"/>
  <c r="H63" i="35"/>
  <c r="F63" i="35"/>
  <c r="H42" i="35"/>
  <c r="F42" i="35"/>
  <c r="H76" i="35"/>
  <c r="F76" i="35"/>
  <c r="H31" i="35"/>
  <c r="F31" i="35"/>
  <c r="H83" i="35"/>
  <c r="F83" i="35"/>
  <c r="H34" i="35"/>
  <c r="F34" i="35"/>
  <c r="H57" i="35"/>
  <c r="F57" i="35"/>
  <c r="H72" i="35"/>
  <c r="F72" i="35"/>
  <c r="H44" i="35"/>
  <c r="F44" i="35"/>
  <c r="H91" i="35"/>
  <c r="F91" i="35"/>
  <c r="H82" i="35"/>
  <c r="F82" i="35"/>
  <c r="H90" i="35"/>
  <c r="F90" i="35"/>
  <c r="H53" i="35"/>
  <c r="F53" i="35"/>
  <c r="H75" i="35"/>
  <c r="F75" i="35"/>
  <c r="H85" i="35"/>
  <c r="F85" i="35"/>
  <c r="H84" i="35"/>
  <c r="F84" i="35"/>
  <c r="H52" i="35"/>
  <c r="F52" i="35"/>
  <c r="H71" i="35"/>
  <c r="F71" i="35"/>
  <c r="H18" i="35"/>
  <c r="F18" i="35"/>
  <c r="H139" i="35"/>
  <c r="F139" i="35"/>
  <c r="H138" i="35"/>
  <c r="F138" i="35"/>
  <c r="H137" i="35"/>
  <c r="F137" i="35"/>
  <c r="H143" i="35"/>
  <c r="F143" i="35"/>
  <c r="H112" i="35"/>
  <c r="F112" i="35"/>
  <c r="H111" i="35"/>
  <c r="F111" i="35"/>
  <c r="H92" i="35"/>
  <c r="F92" i="35"/>
  <c r="H86" i="35"/>
  <c r="F86" i="35"/>
  <c r="H147" i="35"/>
  <c r="F147" i="35"/>
  <c r="H142" i="35"/>
  <c r="F142" i="35"/>
  <c r="H115" i="35"/>
  <c r="F115" i="35"/>
  <c r="H116" i="35"/>
  <c r="F116" i="35"/>
  <c r="H114" i="35"/>
  <c r="F114" i="35"/>
  <c r="H9" i="35"/>
  <c r="F9" i="35"/>
  <c r="H10" i="35"/>
  <c r="F10" i="35"/>
  <c r="H12" i="35"/>
  <c r="F12" i="35"/>
  <c r="H59" i="35"/>
  <c r="F59" i="35"/>
  <c r="H60" i="35"/>
  <c r="F60" i="35"/>
  <c r="H136" i="35"/>
  <c r="F136" i="35"/>
  <c r="H129" i="35"/>
  <c r="F129" i="35"/>
  <c r="H16" i="35"/>
  <c r="F16" i="35"/>
  <c r="H14" i="35"/>
  <c r="F14" i="35"/>
  <c r="H15" i="35"/>
  <c r="F15" i="35"/>
  <c r="H13" i="35"/>
  <c r="F13" i="35"/>
  <c r="H99" i="35"/>
  <c r="F99" i="35"/>
  <c r="H98" i="35"/>
  <c r="F98" i="35"/>
  <c r="H61" i="35"/>
  <c r="F61" i="35"/>
  <c r="H55" i="35"/>
  <c r="F55" i="35"/>
  <c r="H96" i="35"/>
  <c r="F96" i="35"/>
  <c r="H95" i="35"/>
  <c r="F95" i="35"/>
  <c r="H47" i="35"/>
  <c r="F47" i="35"/>
  <c r="H24" i="35"/>
  <c r="F24" i="35"/>
  <c r="H38" i="35"/>
  <c r="F38" i="35"/>
  <c r="H79" i="35"/>
  <c r="F79" i="35"/>
  <c r="H37" i="35"/>
  <c r="F37" i="35"/>
  <c r="H36" i="35"/>
  <c r="F36" i="35"/>
  <c r="H54" i="35"/>
  <c r="F54" i="35"/>
  <c r="H56" i="35"/>
  <c r="F56" i="35"/>
  <c r="H40" i="35"/>
  <c r="F40" i="35"/>
  <c r="A100" i="35"/>
  <c r="A146" i="35"/>
  <c r="A132" i="35"/>
  <c r="A119" i="35"/>
  <c r="A118" i="35"/>
  <c r="A135" i="35"/>
  <c r="A66" i="35"/>
  <c r="A133" i="35"/>
  <c r="A134" i="35"/>
  <c r="A43" i="35"/>
  <c r="A65" i="35"/>
  <c r="A89" i="35"/>
  <c r="A77" i="35"/>
  <c r="A51" i="35"/>
  <c r="A117" i="35"/>
  <c r="A32" i="35"/>
  <c r="A140" i="35"/>
  <c r="A149" i="35"/>
  <c r="A148" i="35"/>
  <c r="A145" i="35"/>
  <c r="A58" i="35"/>
  <c r="A45" i="35"/>
  <c r="A39" i="35"/>
  <c r="A74" i="35"/>
  <c r="A78" i="35"/>
  <c r="A103" i="35"/>
  <c r="A102" i="35"/>
  <c r="A104" i="35"/>
  <c r="A94" i="35"/>
  <c r="A93" i="35"/>
  <c r="A50" i="35"/>
  <c r="A80" i="35"/>
  <c r="A73" i="35"/>
  <c r="A88" i="35"/>
  <c r="A101" i="35"/>
  <c r="A87" i="35"/>
  <c r="A64" i="35"/>
  <c r="A49" i="35"/>
  <c r="A63" i="35"/>
  <c r="A42" i="35"/>
  <c r="A76" i="35"/>
  <c r="A31" i="35"/>
  <c r="A83" i="35"/>
  <c r="A34" i="35"/>
  <c r="A57" i="35"/>
  <c r="A72" i="35"/>
  <c r="A44" i="35"/>
  <c r="A91" i="35"/>
  <c r="A82" i="35"/>
  <c r="A90" i="35"/>
  <c r="A53" i="35"/>
  <c r="A75" i="35"/>
  <c r="A85" i="35"/>
  <c r="A84" i="35"/>
  <c r="A52" i="35"/>
  <c r="A71" i="35"/>
  <c r="A18" i="35"/>
  <c r="A139" i="35"/>
  <c r="A138" i="35"/>
  <c r="A137" i="35"/>
  <c r="A143" i="35"/>
  <c r="A112" i="35"/>
  <c r="A111" i="35"/>
  <c r="A92" i="35"/>
  <c r="A86" i="35"/>
  <c r="A147" i="35"/>
  <c r="A142" i="35"/>
  <c r="A115" i="35"/>
  <c r="A116" i="35"/>
  <c r="A114" i="35"/>
  <c r="A9" i="35"/>
  <c r="A10" i="35"/>
  <c r="A12" i="35"/>
  <c r="A59" i="35"/>
  <c r="A60" i="35"/>
  <c r="A136" i="35"/>
  <c r="A129" i="35"/>
  <c r="A16" i="35"/>
  <c r="A14" i="35"/>
  <c r="A15" i="35"/>
  <c r="A13" i="35"/>
  <c r="A99" i="35"/>
  <c r="A98" i="35"/>
  <c r="A61" i="35"/>
  <c r="A55" i="35"/>
  <c r="A96" i="35"/>
  <c r="A95" i="35"/>
  <c r="A47" i="35"/>
  <c r="A24" i="35"/>
  <c r="A38" i="35"/>
  <c r="A79" i="35"/>
  <c r="A37" i="35"/>
  <c r="A36" i="35"/>
  <c r="A54" i="35"/>
  <c r="A56" i="35"/>
  <c r="A40" i="35"/>
  <c r="AA29" i="35"/>
  <c r="H29" i="35"/>
  <c r="F29" i="35"/>
  <c r="A29" i="35"/>
  <c r="AA22" i="35"/>
  <c r="H22" i="35"/>
  <c r="F22" i="35"/>
  <c r="A22" i="35"/>
  <c r="H8" i="35"/>
  <c r="F8" i="35"/>
  <c r="A8" i="35"/>
  <c r="AA46" i="35"/>
  <c r="H46" i="35"/>
  <c r="F46" i="35"/>
  <c r="A46" i="35"/>
  <c r="AA33" i="35"/>
  <c r="H33" i="35"/>
  <c r="F33" i="35"/>
  <c r="A33" i="35"/>
  <c r="H30" i="35"/>
  <c r="F30" i="35"/>
  <c r="A30" i="35"/>
  <c r="H35" i="35"/>
  <c r="F35" i="35"/>
  <c r="A35" i="35"/>
  <c r="H19" i="35"/>
  <c r="F19" i="35"/>
  <c r="A19" i="35"/>
  <c r="AA7" i="35"/>
  <c r="H7" i="35"/>
  <c r="F7" i="35"/>
  <c r="A7" i="35"/>
  <c r="AA6" i="35"/>
  <c r="H6" i="35"/>
  <c r="F6" i="35"/>
  <c r="A6" i="35"/>
  <c r="AA28" i="35"/>
  <c r="H28" i="35"/>
  <c r="F28" i="35"/>
  <c r="A28" i="35"/>
  <c r="AA3" i="35"/>
  <c r="H3" i="35"/>
  <c r="F3" i="35"/>
  <c r="A3" i="35"/>
  <c r="AA23" i="35"/>
  <c r="H23" i="35"/>
  <c r="F23" i="35"/>
  <c r="A23" i="35"/>
  <c r="H20" i="35"/>
  <c r="F20" i="35"/>
  <c r="A20" i="35"/>
  <c r="H25" i="35"/>
  <c r="F25" i="35"/>
  <c r="A25" i="35"/>
  <c r="AA5" i="35"/>
  <c r="H5" i="35"/>
  <c r="F5" i="35"/>
  <c r="A5" i="35"/>
  <c r="AA70" i="35"/>
  <c r="H70" i="35"/>
  <c r="F70" i="35"/>
  <c r="A70" i="35"/>
  <c r="H68" i="35"/>
  <c r="F68" i="35"/>
  <c r="A68" i="35"/>
  <c r="H67" i="35"/>
  <c r="F67" i="35"/>
  <c r="A67" i="35"/>
  <c r="AA41" i="35"/>
  <c r="H41" i="35"/>
  <c r="F41" i="35"/>
  <c r="A41" i="35"/>
  <c r="H131" i="35"/>
  <c r="F131" i="35"/>
  <c r="A131" i="35"/>
  <c r="H62" i="35"/>
  <c r="F62" i="35"/>
  <c r="A62" i="35"/>
  <c r="H17" i="35"/>
  <c r="F17" i="35"/>
  <c r="A17" i="35"/>
  <c r="AA27" i="35"/>
  <c r="H27" i="35"/>
  <c r="F27" i="35"/>
  <c r="A27" i="35"/>
  <c r="AA21" i="35"/>
  <c r="H21" i="35"/>
  <c r="F21" i="35"/>
  <c r="A21" i="35"/>
  <c r="AA48" i="35"/>
  <c r="H48" i="35"/>
  <c r="F48" i="35"/>
  <c r="A48" i="35"/>
  <c r="AA2" i="35"/>
  <c r="H2" i="35"/>
  <c r="F2" i="35"/>
  <c r="A2" i="35"/>
  <c r="H144" i="35"/>
  <c r="F144" i="35"/>
  <c r="A144" i="35"/>
  <c r="H130" i="35"/>
  <c r="F130" i="35"/>
  <c r="A130" i="35"/>
  <c r="AA26" i="35"/>
  <c r="H26" i="35"/>
  <c r="F26" i="35"/>
  <c r="A26" i="35"/>
  <c r="H107" i="35"/>
  <c r="F107" i="35"/>
  <c r="A107" i="35"/>
  <c r="H110" i="35"/>
  <c r="F110" i="35"/>
  <c r="A110" i="35"/>
  <c r="H113" i="35"/>
  <c r="F113" i="35"/>
  <c r="A113" i="35"/>
  <c r="H97" i="35"/>
  <c r="F97" i="35"/>
  <c r="A97" i="35"/>
  <c r="AA81" i="35"/>
  <c r="H81" i="35"/>
  <c r="F81" i="35"/>
  <c r="A81" i="35"/>
  <c r="AA106" i="35"/>
  <c r="H106" i="35"/>
  <c r="F106" i="35"/>
  <c r="A106" i="35"/>
  <c r="AA105" i="35"/>
  <c r="H105" i="35"/>
  <c r="F105" i="35"/>
  <c r="A105" i="35"/>
  <c r="H69" i="35"/>
  <c r="F69" i="35"/>
  <c r="A69" i="35"/>
  <c r="AA4" i="35"/>
  <c r="H4" i="35"/>
  <c r="F4" i="35"/>
  <c r="A4" i="35"/>
  <c r="AA11" i="35"/>
  <c r="H11" i="35"/>
  <c r="F11" i="35"/>
  <c r="A11" i="35"/>
</calcChain>
</file>

<file path=xl/sharedStrings.xml><?xml version="1.0" encoding="utf-8"?>
<sst xmlns="http://schemas.openxmlformats.org/spreadsheetml/2006/main" count="2300" uniqueCount="223">
  <si>
    <t>PLM</t>
  </si>
  <si>
    <t>THMSS24CC00030</t>
  </si>
  <si>
    <t>Kesim</t>
  </si>
  <si>
    <t>Ürün Kodu</t>
  </si>
  <si>
    <t>Renk</t>
  </si>
  <si>
    <t>Ekru</t>
  </si>
  <si>
    <t>Lacivert</t>
  </si>
  <si>
    <t>Atölye</t>
  </si>
  <si>
    <t>Sevk Adedi</t>
  </si>
  <si>
    <t>Beyaz</t>
  </si>
  <si>
    <t>Siyah</t>
  </si>
  <si>
    <t>Pembe</t>
  </si>
  <si>
    <t>Mavi</t>
  </si>
  <si>
    <t>Bordo</t>
  </si>
  <si>
    <t>Kırmızı</t>
  </si>
  <si>
    <t>Bej</t>
  </si>
  <si>
    <t>THMAW24CC00013</t>
  </si>
  <si>
    <t>THMSS23PT00048</t>
  </si>
  <si>
    <t>Ayşe</t>
  </si>
  <si>
    <t>Hamza</t>
  </si>
  <si>
    <t>Orhan</t>
  </si>
  <si>
    <t>Serdar</t>
  </si>
  <si>
    <t>Şener</t>
  </si>
  <si>
    <t>Etiket</t>
  </si>
  <si>
    <t>Kesim Adedi</t>
  </si>
  <si>
    <t>Fason Durum</t>
  </si>
  <si>
    <t>Final</t>
  </si>
  <si>
    <t>DSM Termin</t>
  </si>
  <si>
    <t>Vehbi</t>
  </si>
  <si>
    <t>Fire Adedi</t>
  </si>
  <si>
    <t>Kahverengi</t>
  </si>
  <si>
    <t>Çizildi</t>
  </si>
  <si>
    <t>Kesildi</t>
  </si>
  <si>
    <t>THMSS26PT00040</t>
  </si>
  <si>
    <t>THMAW26GC00001</t>
  </si>
  <si>
    <t>Hazırlandı</t>
  </si>
  <si>
    <t>THMSS24PT00075</t>
  </si>
  <si>
    <t>Seyit</t>
  </si>
  <si>
    <t>THMSS24GC00003</t>
  </si>
  <si>
    <t>Gri</t>
  </si>
  <si>
    <t>TBBAW25AI00027</t>
  </si>
  <si>
    <t>TBBAW25AI00039</t>
  </si>
  <si>
    <t>THMSS26PT00146</t>
  </si>
  <si>
    <t>THMSS23PT00165</t>
  </si>
  <si>
    <t>Çok Renkli</t>
  </si>
  <si>
    <t>Gül Kurusu</t>
  </si>
  <si>
    <t>TBBAW23AI00040</t>
  </si>
  <si>
    <t>TBBSS25AI00111</t>
  </si>
  <si>
    <t>TBBSS25AI00002</t>
  </si>
  <si>
    <t>Yeşil</t>
  </si>
  <si>
    <t>Mürdüm</t>
  </si>
  <si>
    <t>TBBAW24AI00003</t>
  </si>
  <si>
    <t>Açık Gri</t>
  </si>
  <si>
    <t>THMAW26PT00065</t>
  </si>
  <si>
    <t>THMSS26PT00189</t>
  </si>
  <si>
    <t>THMSS24CC00025</t>
  </si>
  <si>
    <t>THMSS24SU00016</t>
  </si>
  <si>
    <t>Sarı</t>
  </si>
  <si>
    <t>THMAW24CY00000</t>
  </si>
  <si>
    <t>THMSS26GC00017</t>
  </si>
  <si>
    <t>THMSS26PT00006</t>
  </si>
  <si>
    <t>TBESS26KM00004</t>
  </si>
  <si>
    <t>TBESS26AU00034</t>
  </si>
  <si>
    <t>Kesim Sırasında</t>
  </si>
  <si>
    <t>Mint</t>
  </si>
  <si>
    <t>THMSS26PT00182</t>
  </si>
  <si>
    <t>THMSS26PT00180</t>
  </si>
  <si>
    <t>THMSS26GC00018</t>
  </si>
  <si>
    <t>TBBSS25AI00048</t>
  </si>
  <si>
    <t>TBBSS25AI00009</t>
  </si>
  <si>
    <t>TBBSS24AI00072</t>
  </si>
  <si>
    <t xml:space="preserve">Antrasit </t>
  </si>
  <si>
    <t>TBBAW23AI00032</t>
  </si>
  <si>
    <t>TBBSS25AI00082</t>
  </si>
  <si>
    <t>Dikim'de</t>
  </si>
  <si>
    <t>Kumaşında sıkıntı var, beklemede</t>
  </si>
  <si>
    <t>TBBSS25AI00068</t>
  </si>
  <si>
    <t>TBBAW26AI00017</t>
  </si>
  <si>
    <t>TBBAW24AI00040</t>
  </si>
  <si>
    <t>THMSS24KU00037</t>
  </si>
  <si>
    <t>TBBAW23AI00015</t>
  </si>
  <si>
    <t>Sedat</t>
  </si>
  <si>
    <t>Laperissa</t>
  </si>
  <si>
    <t>TBBSS25AI00015</t>
  </si>
  <si>
    <t>TBESS25AU00044</t>
  </si>
  <si>
    <t>THMSS26CC00015</t>
  </si>
  <si>
    <t>TBBAW26AI00032</t>
  </si>
  <si>
    <t>Dikim Sırasında</t>
  </si>
  <si>
    <t>Kumaş tedariği 13 martta gerçekleşti.</t>
  </si>
  <si>
    <t>THMAW26PT00086</t>
  </si>
  <si>
    <t>THMSS26PT00192</t>
  </si>
  <si>
    <t>TBBSS26AI00045</t>
  </si>
  <si>
    <t>Osman</t>
  </si>
  <si>
    <t>Açıklama</t>
  </si>
  <si>
    <t>Onaylandı</t>
  </si>
  <si>
    <t>Dışarıda Kesildi</t>
  </si>
  <si>
    <t>Geldi</t>
  </si>
  <si>
    <t>D-A=T</t>
  </si>
  <si>
    <t>Çizilmedi</t>
  </si>
  <si>
    <t>Atölye Termin</t>
  </si>
  <si>
    <t>Fit Onayı</t>
  </si>
  <si>
    <t>Hazırlanıyor</t>
  </si>
  <si>
    <t>THMSS26PT00208</t>
  </si>
  <si>
    <t>THMSS26PT00102</t>
  </si>
  <si>
    <t>THMSS25PT00105</t>
  </si>
  <si>
    <t>THMSS25GC00015</t>
  </si>
  <si>
    <t>THMAW23CY00002</t>
  </si>
  <si>
    <t>TBBSS23AI00009</t>
  </si>
  <si>
    <t>Çok Renkli - Beyaz</t>
  </si>
  <si>
    <t>Çok Renkli - Mavi</t>
  </si>
  <si>
    <t>Fit 16.03 tarihinde gönderildi.</t>
  </si>
  <si>
    <t>THMSS22PT0269</t>
  </si>
  <si>
    <t>THMSS22GC0018</t>
  </si>
  <si>
    <t>Somon</t>
  </si>
  <si>
    <t>Serkan</t>
  </si>
  <si>
    <t>Saadet</t>
  </si>
  <si>
    <t>TBBSS23AI00020</t>
  </si>
  <si>
    <t>THMAW23SU00167</t>
  </si>
  <si>
    <t>THMSSPT00210</t>
  </si>
  <si>
    <t>Çok - Pudra</t>
  </si>
  <si>
    <t xml:space="preserve">Kumaş Defolu çıktığı için iade edildi Tekrar kumaş siparişi verildi 09.03.2026 tarihine termin verdi </t>
  </si>
  <si>
    <t>TBBSS24AI00035</t>
  </si>
  <si>
    <t>TBBSS25AI00016</t>
  </si>
  <si>
    <t>TBBSS25AI00049</t>
  </si>
  <si>
    <t>TBBSS26AI00009</t>
  </si>
  <si>
    <t>TBBSS26AI00032</t>
  </si>
  <si>
    <t>TBBSS26AI00055</t>
  </si>
  <si>
    <t>TBBSS26AI00058</t>
  </si>
  <si>
    <t>TBBSS26AI00074</t>
  </si>
  <si>
    <t>TBBSS26AI00081</t>
  </si>
  <si>
    <t>TBBSS26CH00001</t>
  </si>
  <si>
    <t>TBESS22EL0026</t>
  </si>
  <si>
    <t>TBESS25PR00008</t>
  </si>
  <si>
    <t>TBESS25PR00014</t>
  </si>
  <si>
    <t>TBESS26AU00076</t>
  </si>
  <si>
    <t>TBESS26AU00077</t>
  </si>
  <si>
    <t>TBESS26EL00033</t>
  </si>
  <si>
    <t>TBESS26EL00054</t>
  </si>
  <si>
    <t>TBESS26EL00081</t>
  </si>
  <si>
    <t>TBESS26EL00082</t>
  </si>
  <si>
    <t>TBESS26PR00011</t>
  </si>
  <si>
    <t>THMAW21PT0292</t>
  </si>
  <si>
    <t>THMAW22AU0237</t>
  </si>
  <si>
    <t>THMAW23SB00011</t>
  </si>
  <si>
    <t>THMAW24PT00074</t>
  </si>
  <si>
    <t>THMAW26PT00088</t>
  </si>
  <si>
    <t>THMAW26PT00089</t>
  </si>
  <si>
    <t>THMSS20PT0158</t>
  </si>
  <si>
    <t>THMSS22PT0264</t>
  </si>
  <si>
    <t>THMSS24LL00005</t>
  </si>
  <si>
    <t>THMSS24PT00121</t>
  </si>
  <si>
    <t>THMSS25CY00001</t>
  </si>
  <si>
    <t>THMSS25PT00054</t>
  </si>
  <si>
    <t>THMSS25PT00141</t>
  </si>
  <si>
    <t>THMSS25PT00319</t>
  </si>
  <si>
    <t>THMSS25PT00404</t>
  </si>
  <si>
    <t>THMSS25SB00003</t>
  </si>
  <si>
    <t>THMSS26GC00019</t>
  </si>
  <si>
    <t>THMSS26LL00019</t>
  </si>
  <si>
    <t>THMSS26PT00041</t>
  </si>
  <si>
    <t>THMSS26PT00222</t>
  </si>
  <si>
    <t>THMSS26PT00227</t>
  </si>
  <si>
    <t>THMSS26PT00229</t>
  </si>
  <si>
    <t>THMSS26PT00231</t>
  </si>
  <si>
    <t>THMSS26PT00233</t>
  </si>
  <si>
    <t>THMSS26PT00245</t>
  </si>
  <si>
    <t>THMSS26TU00001</t>
  </si>
  <si>
    <t>Beyaz-Mavi</t>
  </si>
  <si>
    <t>Koyu Vişne</t>
  </si>
  <si>
    <t>Siyah-Çok Renkli</t>
  </si>
  <si>
    <t>Kahverengi-Çok Renkli</t>
  </si>
  <si>
    <t>Vizon</t>
  </si>
  <si>
    <t>Fuşya</t>
  </si>
  <si>
    <t>Siyah-Beyaz</t>
  </si>
  <si>
    <t>Bordo-Çok Renkli</t>
  </si>
  <si>
    <t>Tedarik Sürecinde</t>
  </si>
  <si>
    <t>Altları bitti üstleri 01.04.2026 tarihinde gün içinde alınacak</t>
  </si>
  <si>
    <t>01.04.2026 Tarıhınde gün içinde alınacak</t>
  </si>
  <si>
    <t xml:space="preserve">Kumaşta sorun olduğu için kesilemedi. Yeni kesilecek </t>
  </si>
  <si>
    <t>Ütü Paket'de</t>
  </si>
  <si>
    <t>31.03.2026 tarihinde geldi</t>
  </si>
  <si>
    <t>31.03.2026 tarihinde kumaş geldi Kadriye hanıma pastal için iletildi</t>
  </si>
  <si>
    <t>Turgay</t>
  </si>
  <si>
    <t>01.04.2026 TARIHINDE KUMAŞ GELDİ KADRİYE HANIMA İLETİLDİ</t>
  </si>
  <si>
    <t>Şener - Orhan</t>
  </si>
  <si>
    <t>Altları orhanda dikildi üstler Şener de Altlar bitti teslim alındı üst bekleniyor</t>
  </si>
  <si>
    <t>Alt kumaşı DOĞUŞ TEKSTİL ' den gelicek üst sakat olduğu için tekrar gönderilecek ( alt kumaşı geldi 01.04.2026</t>
  </si>
  <si>
    <t>Kumaş siparişi geçildi 06.04.2026 tarıhıne termin alındı</t>
  </si>
  <si>
    <t>Kumaş siparişi verildi</t>
  </si>
  <si>
    <t>Her şey hazır kesim bekliyor</t>
  </si>
  <si>
    <t>Her şey hazır kesilecek</t>
  </si>
  <si>
    <t>Kumaş ve dantel geldi</t>
  </si>
  <si>
    <t xml:space="preserve">17/02/2026 DOĞAN TEKSTİLE RENK ÇALIŞMASI İLETİLDİ </t>
  </si>
  <si>
    <t>Renk çalışması yapılıyor</t>
  </si>
  <si>
    <t>Kumaş geldi diye pastal atılmış ama defolu çıktığı için iade edilmiş tekrar sipariş geçildi</t>
  </si>
  <si>
    <t xml:space="preserve">KARBOY TESKTİL ÜST DÜZ KUMAŞI 28/03/2026 GELDİ </t>
  </si>
  <si>
    <t xml:space="preserve">02.04.2026 tarihinde kumaş geldi </t>
  </si>
  <si>
    <t>07.04.2026 Tarihinde termin alındı  Elimizdeki kumaş iade edildi.</t>
  </si>
  <si>
    <t>Kumaş sıkıntılı olduğu için iade edildi yeni kumaş KARAKOÇ 'tan 09.04.2026 tarihinde gelecek</t>
  </si>
  <si>
    <t>Üstü var Alt için kumaş bekleniyor.</t>
  </si>
  <si>
    <t>Kumaş siparişi geçildi</t>
  </si>
  <si>
    <t xml:space="preserve">Fatih Atlas </t>
  </si>
  <si>
    <t>1168368</t>
  </si>
  <si>
    <t>Murat Askıcı</t>
  </si>
  <si>
    <t xml:space="preserve">Kumaşçı </t>
  </si>
  <si>
    <t>Termin</t>
  </si>
  <si>
    <t xml:space="preserve">Dantel </t>
  </si>
  <si>
    <t xml:space="preserve">Sipariş </t>
  </si>
  <si>
    <t xml:space="preserve">Termin </t>
  </si>
  <si>
    <t>Düğme</t>
  </si>
  <si>
    <t xml:space="preserve"> Termin</t>
  </si>
  <si>
    <t xml:space="preserve">Aksesuar </t>
  </si>
  <si>
    <t>TBBSS26AI00017</t>
  </si>
  <si>
    <t>THMSS26CC00014</t>
  </si>
  <si>
    <t>THMSS24PT00026</t>
  </si>
  <si>
    <t>THMAW25GC00004</t>
  </si>
  <si>
    <t>Beyaz-Çok Renkli</t>
  </si>
  <si>
    <t>Koyu Kahverengi</t>
  </si>
  <si>
    <t>Kardeşler Düğme</t>
  </si>
  <si>
    <t>-</t>
  </si>
  <si>
    <t>Yıldız Dantel</t>
  </si>
  <si>
    <t>Şenel</t>
  </si>
  <si>
    <t>Yuvarlak Demir Aksesuarı geldi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</si>
</sst>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F]d\ mmmm;@"/>
    <numFmt numFmtId="165" formatCode="#,##0\ &quot;Adet&quot;"/>
    <numFmt numFmtId="166" formatCode="#,##0\ &quot;Gün&quot;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9"/>
      <name val="Arial"/>
      <family val="2"/>
      <charset val="162"/>
    </font>
    <font>
      <b/>
      <sz val="8"/>
      <color rgb="FFC00000"/>
      <name val="Arial"/>
      <family val="2"/>
      <charset val="162"/>
    </font>
    <font>
      <sz val="8"/>
      <color theme="1"/>
      <name val="Arial"/>
      <family val="2"/>
      <charset val="162"/>
    </font>
    <font>
      <sz val="9"/>
      <color theme="0" tint="-0.249977111117893"/>
      <name val="Arial"/>
      <family val="2"/>
      <charset val="162"/>
    </font>
    <font>
      <b/>
      <sz val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2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915F-3ACF-44DB-963B-3EEEC4435BCB}">
  <sheetPr codeName="Sayfa1">
    <pageSetUpPr fitToPage="1"/>
  </sheetPr>
  <dimension ref="A1:AB149"/>
  <sheetViews>
    <sheetView tabSelected="1" view="pageBreakPreview" zoomScale="115" zoomScaleNormal="115" zoomScaleSheetLayoutView="115" workbookViewId="0">
      <pane ySplit="1" topLeftCell="A2" activePane="bottomLeft" state="frozen"/>
      <selection pane="bottomLeft" activeCell="G6" sqref="G6"/>
    </sheetView>
  </sheetViews>
  <sheetFormatPr defaultColWidth="7.109375" defaultRowHeight="11.4" x14ac:dyDescent="0.3"/>
  <cols>
    <col min="1" max="1" width="10.109375" style="7" bestFit="1" customWidth="1"/>
    <col min="2" max="2" width="16.88671875" style="7" bestFit="1" customWidth="1"/>
    <col min="3" max="3" width="9" style="31" bestFit="1" customWidth="1"/>
    <col min="4" max="4" width="19.33203125" style="7" bestFit="1" customWidth="1"/>
    <col min="5" max="5" width="15.109375" style="7" bestFit="1" customWidth="1"/>
    <col min="6" max="6" width="7.109375" style="7"/>
    <col min="7" max="7" width="16.6640625" style="7" bestFit="1" customWidth="1"/>
    <col min="8" max="8" width="7.109375" style="7"/>
    <col min="9" max="9" width="12" style="7" bestFit="1" customWidth="1"/>
    <col min="10" max="10" width="15.5546875" style="7" bestFit="1" customWidth="1"/>
    <col min="11" max="11" width="12.109375" style="7" bestFit="1" customWidth="1"/>
    <col min="12" max="12" width="10.33203125" style="7" bestFit="1" customWidth="1"/>
    <col min="13" max="13" width="15.44140625" style="7" bestFit="1" customWidth="1"/>
    <col min="14" max="14" width="16" style="32" bestFit="1" customWidth="1"/>
    <col min="15" max="15" width="12.6640625" style="2" bestFit="1" customWidth="1"/>
    <col min="16" max="16" width="11.33203125" style="1" bestFit="1" customWidth="1"/>
    <col min="17" max="17" width="10.88671875" style="2" bestFit="1" customWidth="1"/>
    <col min="18" max="18" width="11.44140625" style="1" bestFit="1" customWidth="1"/>
    <col min="19" max="19" width="11.6640625" style="1" bestFit="1" customWidth="1"/>
    <col min="20" max="20" width="10.109375" style="7" bestFit="1" customWidth="1"/>
    <col min="21" max="21" width="15.109375" style="2" bestFit="1" customWidth="1"/>
    <col min="22" max="22" width="9.44140625" style="1" bestFit="1" customWidth="1"/>
    <col min="23" max="23" width="11.44140625" style="2" bestFit="1" customWidth="1"/>
    <col min="24" max="24" width="9.109375" style="1" bestFit="1" customWidth="1"/>
    <col min="25" max="25" width="9" style="1" bestFit="1" customWidth="1"/>
    <col min="26" max="26" width="14.44140625" style="7" bestFit="1" customWidth="1"/>
    <col min="27" max="27" width="13.5546875" style="7" bestFit="1" customWidth="1"/>
    <col min="28" max="28" width="91.109375" style="7" bestFit="1" customWidth="1"/>
    <col min="29" max="16384" width="7.109375" style="7"/>
  </cols>
  <sheetData>
    <row r="1" spans="1:28" s="20" customFormat="1" ht="10.199999999999999" x14ac:dyDescent="0.3">
      <c r="A1" s="13" t="s">
        <v>97</v>
      </c>
      <c r="B1" s="13" t="s">
        <v>3</v>
      </c>
      <c r="C1" s="14" t="s">
        <v>0</v>
      </c>
      <c r="D1" s="13" t="s">
        <v>4</v>
      </c>
      <c r="E1" s="15" t="s">
        <v>27</v>
      </c>
      <c r="F1" s="15"/>
      <c r="G1" s="15" t="s">
        <v>99</v>
      </c>
      <c r="H1" s="15"/>
      <c r="I1" s="13" t="s">
        <v>7</v>
      </c>
      <c r="J1" s="16" t="s">
        <v>24</v>
      </c>
      <c r="K1" s="17" t="s">
        <v>100</v>
      </c>
      <c r="L1" s="15" t="s">
        <v>31</v>
      </c>
      <c r="M1" s="15" t="s">
        <v>2</v>
      </c>
      <c r="N1" s="18" t="s">
        <v>25</v>
      </c>
      <c r="O1" s="18" t="s">
        <v>204</v>
      </c>
      <c r="P1" s="18" t="s">
        <v>205</v>
      </c>
      <c r="Q1" s="18" t="s">
        <v>206</v>
      </c>
      <c r="R1" s="18" t="s">
        <v>207</v>
      </c>
      <c r="S1" s="18" t="s">
        <v>208</v>
      </c>
      <c r="T1" s="15" t="s">
        <v>23</v>
      </c>
      <c r="U1" s="19" t="s">
        <v>209</v>
      </c>
      <c r="V1" s="19" t="s">
        <v>210</v>
      </c>
      <c r="W1" s="19" t="s">
        <v>211</v>
      </c>
      <c r="X1" s="19" t="s">
        <v>207</v>
      </c>
      <c r="Y1" s="19" t="s">
        <v>205</v>
      </c>
      <c r="Z1" s="16" t="s">
        <v>8</v>
      </c>
      <c r="AA1" s="16" t="s">
        <v>29</v>
      </c>
      <c r="AB1" s="17" t="s">
        <v>93</v>
      </c>
    </row>
    <row r="2" spans="1:28" s="29" customFormat="1" x14ac:dyDescent="0.3">
      <c r="A2" s="8">
        <f t="shared" ref="A2:A33" si="0">E2-G2</f>
        <v>-5</v>
      </c>
      <c r="B2" s="25" t="s">
        <v>65</v>
      </c>
      <c r="C2" s="26">
        <v>1143454</v>
      </c>
      <c r="D2" s="25" t="s">
        <v>10</v>
      </c>
      <c r="E2" s="27">
        <v>46109</v>
      </c>
      <c r="F2" s="8">
        <f t="shared" ref="F2:F33" ca="1" si="1">IF(AND(E2&gt;=TODAY(),E2&lt;=TODAY()+5),1,IF(AND(E2&gt;TODAY()+1,E2&lt;=TODAY()+10),2,IF(AND(E2&gt;TODAY()+2,E2&lt;=TODAY()+15),3,IF(AND(E2&gt;TODAY()+3,E2&lt;=TODAY()+365),4,0))))</f>
        <v>0</v>
      </c>
      <c r="G2" s="27">
        <v>46114</v>
      </c>
      <c r="H2" s="8">
        <f t="shared" ref="H2:H33" ca="1" si="2">IF(AND(G2&gt;=TODAY(),G2&lt;=TODAY()+5),1,IF(AND(G2&gt;TODAY()+1,G2&lt;=TODAY()+10),2,IF(AND(G2&gt;TODAY()+2,G2&lt;=TODAY()+15),3,IF(AND(G2&gt;TODAY()+3,G2&lt;=TODAY()+365),4,0))))</f>
        <v>0</v>
      </c>
      <c r="I2" s="5" t="s">
        <v>37</v>
      </c>
      <c r="J2" s="9">
        <v>306</v>
      </c>
      <c r="K2" s="25" t="s">
        <v>94</v>
      </c>
      <c r="L2" s="25" t="s">
        <v>31</v>
      </c>
      <c r="M2" s="25" t="s">
        <v>32</v>
      </c>
      <c r="N2" s="25" t="s">
        <v>179</v>
      </c>
      <c r="O2" s="6" t="s">
        <v>219</v>
      </c>
      <c r="P2" s="5" t="s">
        <v>219</v>
      </c>
      <c r="Q2" s="6" t="s">
        <v>219</v>
      </c>
      <c r="R2" s="5" t="s">
        <v>219</v>
      </c>
      <c r="S2" s="5" t="s">
        <v>219</v>
      </c>
      <c r="T2" s="25" t="s">
        <v>35</v>
      </c>
      <c r="U2" s="6" t="s">
        <v>219</v>
      </c>
      <c r="V2" s="5" t="s">
        <v>219</v>
      </c>
      <c r="W2" s="6" t="s">
        <v>219</v>
      </c>
      <c r="X2" s="5" t="s">
        <v>219</v>
      </c>
      <c r="Y2" s="5" t="s">
        <v>219</v>
      </c>
      <c r="Z2" s="9">
        <v>0</v>
      </c>
      <c r="AA2" s="9">
        <f t="shared" ref="AA2:AA33" si="3">J2-Z2</f>
        <v>306</v>
      </c>
      <c r="AB2" s="28" t="s">
        <v>177</v>
      </c>
    </row>
    <row r="3" spans="1:28" x14ac:dyDescent="0.3">
      <c r="A3" s="10">
        <f t="shared" si="0"/>
        <v>-6</v>
      </c>
      <c r="B3" s="21" t="s">
        <v>103</v>
      </c>
      <c r="C3" s="22">
        <v>1153837</v>
      </c>
      <c r="D3" s="21" t="s">
        <v>10</v>
      </c>
      <c r="E3" s="23">
        <v>46109</v>
      </c>
      <c r="F3" s="10">
        <f t="shared" ca="1" si="1"/>
        <v>0</v>
      </c>
      <c r="G3" s="23">
        <v>46115</v>
      </c>
      <c r="H3" s="10">
        <f t="shared" ca="1" si="2"/>
        <v>0</v>
      </c>
      <c r="I3" s="3" t="s">
        <v>82</v>
      </c>
      <c r="J3" s="11">
        <v>500</v>
      </c>
      <c r="K3" s="12" t="s">
        <v>94</v>
      </c>
      <c r="L3" s="12" t="s">
        <v>31</v>
      </c>
      <c r="M3" s="12" t="s">
        <v>32</v>
      </c>
      <c r="N3" s="21" t="s">
        <v>74</v>
      </c>
      <c r="O3" s="4" t="s">
        <v>219</v>
      </c>
      <c r="P3" s="3" t="s">
        <v>219</v>
      </c>
      <c r="Q3" s="4" t="s">
        <v>219</v>
      </c>
      <c r="R3" s="3" t="s">
        <v>219</v>
      </c>
      <c r="S3" s="3" t="s">
        <v>219</v>
      </c>
      <c r="T3" s="12" t="s">
        <v>35</v>
      </c>
      <c r="U3" s="4" t="s">
        <v>219</v>
      </c>
      <c r="V3" s="3" t="s">
        <v>219</v>
      </c>
      <c r="W3" s="4" t="s">
        <v>219</v>
      </c>
      <c r="X3" s="3" t="s">
        <v>219</v>
      </c>
      <c r="Y3" s="3" t="s">
        <v>219</v>
      </c>
      <c r="Z3" s="11">
        <v>0</v>
      </c>
      <c r="AA3" s="11">
        <f t="shared" si="3"/>
        <v>500</v>
      </c>
      <c r="AB3" s="24"/>
    </row>
    <row r="4" spans="1:28" x14ac:dyDescent="0.3">
      <c r="A4" s="10">
        <f t="shared" si="0"/>
        <v>-4</v>
      </c>
      <c r="B4" s="21" t="s">
        <v>54</v>
      </c>
      <c r="C4" s="22">
        <v>1141943</v>
      </c>
      <c r="D4" s="21" t="s">
        <v>30</v>
      </c>
      <c r="E4" s="23">
        <v>46111</v>
      </c>
      <c r="F4" s="10">
        <f t="shared" ca="1" si="1"/>
        <v>0</v>
      </c>
      <c r="G4" s="23">
        <v>46115</v>
      </c>
      <c r="H4" s="10">
        <f t="shared" ca="1" si="2"/>
        <v>0</v>
      </c>
      <c r="I4" s="3" t="s">
        <v>19</v>
      </c>
      <c r="J4" s="11">
        <v>454</v>
      </c>
      <c r="K4" s="12" t="s">
        <v>94</v>
      </c>
      <c r="L4" s="12" t="s">
        <v>31</v>
      </c>
      <c r="M4" s="12" t="s">
        <v>32</v>
      </c>
      <c r="N4" s="21" t="s">
        <v>74</v>
      </c>
      <c r="O4" s="4" t="s">
        <v>219</v>
      </c>
      <c r="P4" s="3" t="s">
        <v>219</v>
      </c>
      <c r="Q4" s="4" t="s">
        <v>219</v>
      </c>
      <c r="R4" s="3" t="s">
        <v>219</v>
      </c>
      <c r="S4" s="3" t="s">
        <v>219</v>
      </c>
      <c r="T4" s="12" t="s">
        <v>35</v>
      </c>
      <c r="U4" s="4" t="s">
        <v>219</v>
      </c>
      <c r="V4" s="3" t="s">
        <v>219</v>
      </c>
      <c r="W4" s="4" t="s">
        <v>219</v>
      </c>
      <c r="X4" s="3" t="s">
        <v>219</v>
      </c>
      <c r="Y4" s="3" t="s">
        <v>219</v>
      </c>
      <c r="Z4" s="11">
        <v>0</v>
      </c>
      <c r="AA4" s="11">
        <f t="shared" si="3"/>
        <v>454</v>
      </c>
      <c r="AB4" s="24" t="s">
        <v>176</v>
      </c>
    </row>
    <row r="5" spans="1:28" s="29" customFormat="1" x14ac:dyDescent="0.3">
      <c r="A5" s="8">
        <f t="shared" si="0"/>
        <v>46112</v>
      </c>
      <c r="B5" s="25" t="s">
        <v>91</v>
      </c>
      <c r="C5" s="26">
        <v>1125681</v>
      </c>
      <c r="D5" s="25" t="s">
        <v>11</v>
      </c>
      <c r="E5" s="27">
        <v>46112</v>
      </c>
      <c r="F5" s="8">
        <f t="shared" ca="1" si="1"/>
        <v>0</v>
      </c>
      <c r="G5" s="27"/>
      <c r="H5" s="8">
        <f t="shared" ca="1" si="2"/>
        <v>0</v>
      </c>
      <c r="I5" s="5" t="s">
        <v>82</v>
      </c>
      <c r="J5" s="9">
        <v>426</v>
      </c>
      <c r="K5" s="25" t="s">
        <v>94</v>
      </c>
      <c r="L5" s="25" t="s">
        <v>31</v>
      </c>
      <c r="M5" s="25" t="s">
        <v>32</v>
      </c>
      <c r="N5" s="25" t="s">
        <v>179</v>
      </c>
      <c r="O5" s="6"/>
      <c r="P5" s="5"/>
      <c r="Q5" s="6"/>
      <c r="R5" s="5"/>
      <c r="S5" s="5"/>
      <c r="T5" s="25" t="s">
        <v>35</v>
      </c>
      <c r="U5" s="6"/>
      <c r="V5" s="5"/>
      <c r="W5" s="6"/>
      <c r="X5" s="5"/>
      <c r="Y5" s="5"/>
      <c r="Z5" s="9">
        <v>0</v>
      </c>
      <c r="AA5" s="9">
        <f t="shared" si="3"/>
        <v>426</v>
      </c>
      <c r="AB5" s="28"/>
    </row>
    <row r="6" spans="1:28" x14ac:dyDescent="0.3">
      <c r="A6" s="10">
        <f t="shared" si="0"/>
        <v>46112</v>
      </c>
      <c r="B6" s="21" t="s">
        <v>106</v>
      </c>
      <c r="C6" s="22">
        <v>1154105</v>
      </c>
      <c r="D6" s="21" t="s">
        <v>13</v>
      </c>
      <c r="E6" s="23">
        <v>46112</v>
      </c>
      <c r="F6" s="10">
        <f t="shared" ca="1" si="1"/>
        <v>0</v>
      </c>
      <c r="G6" s="23"/>
      <c r="H6" s="10">
        <f t="shared" ca="1" si="2"/>
        <v>0</v>
      </c>
      <c r="I6" s="3" t="s">
        <v>22</v>
      </c>
      <c r="J6" s="11">
        <v>302</v>
      </c>
      <c r="K6" s="12" t="s">
        <v>94</v>
      </c>
      <c r="L6" s="12" t="s">
        <v>31</v>
      </c>
      <c r="M6" s="12" t="s">
        <v>32</v>
      </c>
      <c r="N6" s="21" t="s">
        <v>74</v>
      </c>
      <c r="O6" s="4" t="s">
        <v>219</v>
      </c>
      <c r="P6" s="3" t="s">
        <v>219</v>
      </c>
      <c r="Q6" s="4" t="s">
        <v>219</v>
      </c>
      <c r="R6" s="3" t="s">
        <v>219</v>
      </c>
      <c r="S6" s="3" t="s">
        <v>219</v>
      </c>
      <c r="T6" s="12" t="s">
        <v>35</v>
      </c>
      <c r="U6" s="4" t="s">
        <v>219</v>
      </c>
      <c r="V6" s="3" t="s">
        <v>219</v>
      </c>
      <c r="W6" s="4" t="s">
        <v>219</v>
      </c>
      <c r="X6" s="3" t="s">
        <v>219</v>
      </c>
      <c r="Y6" s="3" t="s">
        <v>219</v>
      </c>
      <c r="Z6" s="11">
        <v>0</v>
      </c>
      <c r="AA6" s="11">
        <f t="shared" si="3"/>
        <v>302</v>
      </c>
      <c r="AB6" s="24" t="s">
        <v>178</v>
      </c>
    </row>
    <row r="7" spans="1:28" x14ac:dyDescent="0.3">
      <c r="A7" s="10">
        <f t="shared" si="0"/>
        <v>46112</v>
      </c>
      <c r="B7" s="21" t="s">
        <v>107</v>
      </c>
      <c r="C7" s="22">
        <v>1155671</v>
      </c>
      <c r="D7" s="21" t="s">
        <v>5</v>
      </c>
      <c r="E7" s="23">
        <v>46112</v>
      </c>
      <c r="F7" s="10">
        <f t="shared" ca="1" si="1"/>
        <v>0</v>
      </c>
      <c r="G7" s="23"/>
      <c r="H7" s="10">
        <f t="shared" ca="1" si="2"/>
        <v>0</v>
      </c>
      <c r="I7" s="3" t="s">
        <v>219</v>
      </c>
      <c r="J7" s="11">
        <v>0</v>
      </c>
      <c r="K7" s="12" t="s">
        <v>94</v>
      </c>
      <c r="L7" s="12" t="s">
        <v>98</v>
      </c>
      <c r="M7" s="12" t="s">
        <v>175</v>
      </c>
      <c r="N7" s="21" t="s">
        <v>219</v>
      </c>
      <c r="O7" s="4" t="s">
        <v>219</v>
      </c>
      <c r="P7" s="3" t="s">
        <v>219</v>
      </c>
      <c r="Q7" s="4" t="s">
        <v>219</v>
      </c>
      <c r="R7" s="3" t="s">
        <v>219</v>
      </c>
      <c r="S7" s="3" t="s">
        <v>219</v>
      </c>
      <c r="T7" s="12" t="s">
        <v>101</v>
      </c>
      <c r="U7" s="4" t="s">
        <v>219</v>
      </c>
      <c r="V7" s="3" t="s">
        <v>219</v>
      </c>
      <c r="W7" s="4" t="s">
        <v>219</v>
      </c>
      <c r="X7" s="3" t="s">
        <v>219</v>
      </c>
      <c r="Y7" s="3" t="s">
        <v>219</v>
      </c>
      <c r="Z7" s="11">
        <v>0</v>
      </c>
      <c r="AA7" s="11">
        <f t="shared" si="3"/>
        <v>0</v>
      </c>
      <c r="AB7" s="24" t="s">
        <v>195</v>
      </c>
    </row>
    <row r="8" spans="1:28" s="29" customFormat="1" x14ac:dyDescent="0.3">
      <c r="A8" s="8">
        <f t="shared" si="0"/>
        <v>2</v>
      </c>
      <c r="B8" s="25" t="s">
        <v>117</v>
      </c>
      <c r="C8" s="26">
        <v>1156795</v>
      </c>
      <c r="D8" s="25" t="s">
        <v>5</v>
      </c>
      <c r="E8" s="27">
        <v>46114</v>
      </c>
      <c r="F8" s="8">
        <f t="shared" ca="1" si="1"/>
        <v>0</v>
      </c>
      <c r="G8" s="27">
        <v>46112</v>
      </c>
      <c r="H8" s="8">
        <f t="shared" ca="1" si="2"/>
        <v>0</v>
      </c>
      <c r="I8" s="5" t="s">
        <v>92</v>
      </c>
      <c r="J8" s="9">
        <v>494</v>
      </c>
      <c r="K8" s="25" t="s">
        <v>94</v>
      </c>
      <c r="L8" s="25" t="s">
        <v>31</v>
      </c>
      <c r="M8" s="25" t="s">
        <v>32</v>
      </c>
      <c r="N8" s="25" t="s">
        <v>26</v>
      </c>
      <c r="O8" s="6"/>
      <c r="P8" s="5"/>
      <c r="Q8" s="6"/>
      <c r="R8" s="5"/>
      <c r="S8" s="5"/>
      <c r="T8" s="25" t="s">
        <v>35</v>
      </c>
      <c r="U8" s="6"/>
      <c r="V8" s="5"/>
      <c r="W8" s="6"/>
      <c r="X8" s="5"/>
      <c r="Y8" s="5"/>
      <c r="Z8" s="9">
        <v>483</v>
      </c>
      <c r="AA8" s="9">
        <f t="shared" si="3"/>
        <v>11</v>
      </c>
      <c r="AB8" s="28" t="s">
        <v>180</v>
      </c>
    </row>
    <row r="9" spans="1:28" x14ac:dyDescent="0.3">
      <c r="A9" s="10">
        <f t="shared" si="0"/>
        <v>46115</v>
      </c>
      <c r="B9" s="21" t="s">
        <v>84</v>
      </c>
      <c r="C9" s="22">
        <v>1132480</v>
      </c>
      <c r="D9" s="21" t="s">
        <v>169</v>
      </c>
      <c r="E9" s="23">
        <v>46115</v>
      </c>
      <c r="F9" s="10">
        <f t="shared" ca="1" si="1"/>
        <v>0</v>
      </c>
      <c r="G9" s="23"/>
      <c r="H9" s="10">
        <f t="shared" ca="1" si="2"/>
        <v>0</v>
      </c>
      <c r="I9" s="3" t="s">
        <v>82</v>
      </c>
      <c r="J9" s="11">
        <v>402</v>
      </c>
      <c r="K9" s="12" t="s">
        <v>94</v>
      </c>
      <c r="L9" s="12" t="s">
        <v>31</v>
      </c>
      <c r="M9" s="12" t="s">
        <v>32</v>
      </c>
      <c r="N9" s="21" t="s">
        <v>74</v>
      </c>
      <c r="O9" s="4" t="s">
        <v>219</v>
      </c>
      <c r="P9" s="3" t="s">
        <v>219</v>
      </c>
      <c r="Q9" s="4" t="s">
        <v>219</v>
      </c>
      <c r="R9" s="3" t="s">
        <v>219</v>
      </c>
      <c r="S9" s="3" t="s">
        <v>219</v>
      </c>
      <c r="T9" s="12" t="s">
        <v>35</v>
      </c>
      <c r="U9" s="4" t="s">
        <v>219</v>
      </c>
      <c r="V9" s="3" t="s">
        <v>219</v>
      </c>
      <c r="W9" s="4" t="s">
        <v>219</v>
      </c>
      <c r="X9" s="3" t="s">
        <v>219</v>
      </c>
      <c r="Y9" s="3" t="s">
        <v>219</v>
      </c>
      <c r="Z9" s="11">
        <v>0</v>
      </c>
      <c r="AA9" s="11">
        <f t="shared" si="3"/>
        <v>402</v>
      </c>
      <c r="AB9" s="24"/>
    </row>
    <row r="10" spans="1:28" x14ac:dyDescent="0.3">
      <c r="A10" s="10">
        <f t="shared" si="0"/>
        <v>46115</v>
      </c>
      <c r="B10" s="21" t="s">
        <v>84</v>
      </c>
      <c r="C10" s="22">
        <v>1132481</v>
      </c>
      <c r="D10" s="21" t="s">
        <v>10</v>
      </c>
      <c r="E10" s="23">
        <v>46115</v>
      </c>
      <c r="F10" s="10">
        <f t="shared" ca="1" si="1"/>
        <v>0</v>
      </c>
      <c r="G10" s="23"/>
      <c r="H10" s="10">
        <f t="shared" ca="1" si="2"/>
        <v>0</v>
      </c>
      <c r="I10" s="3" t="s">
        <v>82</v>
      </c>
      <c r="J10" s="11">
        <v>448</v>
      </c>
      <c r="K10" s="12" t="s">
        <v>94</v>
      </c>
      <c r="L10" s="12" t="s">
        <v>31</v>
      </c>
      <c r="M10" s="12" t="s">
        <v>32</v>
      </c>
      <c r="N10" s="21" t="s">
        <v>74</v>
      </c>
      <c r="O10" s="4" t="s">
        <v>219</v>
      </c>
      <c r="P10" s="3" t="s">
        <v>219</v>
      </c>
      <c r="Q10" s="4" t="s">
        <v>219</v>
      </c>
      <c r="R10" s="3" t="s">
        <v>219</v>
      </c>
      <c r="S10" s="3" t="s">
        <v>219</v>
      </c>
      <c r="T10" s="12" t="s">
        <v>35</v>
      </c>
      <c r="U10" s="4" t="s">
        <v>219</v>
      </c>
      <c r="V10" s="3" t="s">
        <v>219</v>
      </c>
      <c r="W10" s="4" t="s">
        <v>219</v>
      </c>
      <c r="X10" s="3" t="s">
        <v>219</v>
      </c>
      <c r="Y10" s="3" t="s">
        <v>219</v>
      </c>
      <c r="Z10" s="11">
        <v>0</v>
      </c>
      <c r="AA10" s="11">
        <f t="shared" si="3"/>
        <v>448</v>
      </c>
      <c r="AB10" s="24"/>
    </row>
    <row r="11" spans="1:28" s="29" customFormat="1" x14ac:dyDescent="0.3">
      <c r="A11" s="8">
        <f t="shared" si="0"/>
        <v>46115</v>
      </c>
      <c r="B11" s="25" t="s">
        <v>41</v>
      </c>
      <c r="C11" s="26">
        <v>1133122</v>
      </c>
      <c r="D11" s="25" t="s">
        <v>11</v>
      </c>
      <c r="E11" s="27">
        <v>46115</v>
      </c>
      <c r="F11" s="8">
        <f t="shared" ca="1" si="1"/>
        <v>0</v>
      </c>
      <c r="G11" s="27"/>
      <c r="H11" s="8">
        <f t="shared" ca="1" si="2"/>
        <v>0</v>
      </c>
      <c r="I11" s="5" t="s">
        <v>82</v>
      </c>
      <c r="J11" s="9">
        <v>276</v>
      </c>
      <c r="K11" s="25" t="s">
        <v>94</v>
      </c>
      <c r="L11" s="25" t="s">
        <v>31</v>
      </c>
      <c r="M11" s="25" t="s">
        <v>32</v>
      </c>
      <c r="N11" s="25" t="s">
        <v>179</v>
      </c>
      <c r="O11" s="6"/>
      <c r="P11" s="5"/>
      <c r="Q11" s="6"/>
      <c r="R11" s="5"/>
      <c r="S11" s="5"/>
      <c r="T11" s="25" t="s">
        <v>35</v>
      </c>
      <c r="U11" s="6"/>
      <c r="V11" s="5"/>
      <c r="W11" s="6"/>
      <c r="X11" s="5"/>
      <c r="Y11" s="5"/>
      <c r="Z11" s="9"/>
      <c r="AA11" s="9">
        <f t="shared" si="3"/>
        <v>276</v>
      </c>
      <c r="AB11" s="28" t="s">
        <v>75</v>
      </c>
    </row>
    <row r="12" spans="1:28" x14ac:dyDescent="0.3">
      <c r="A12" s="10">
        <f t="shared" si="0"/>
        <v>46115</v>
      </c>
      <c r="B12" s="21" t="s">
        <v>131</v>
      </c>
      <c r="C12" s="22">
        <v>1133276</v>
      </c>
      <c r="D12" s="21" t="s">
        <v>10</v>
      </c>
      <c r="E12" s="23">
        <v>46115</v>
      </c>
      <c r="F12" s="10">
        <f t="shared" ca="1" si="1"/>
        <v>0</v>
      </c>
      <c r="G12" s="23"/>
      <c r="H12" s="10">
        <f t="shared" ca="1" si="2"/>
        <v>0</v>
      </c>
      <c r="I12" s="3" t="s">
        <v>114</v>
      </c>
      <c r="J12" s="11">
        <v>750</v>
      </c>
      <c r="K12" s="12" t="s">
        <v>94</v>
      </c>
      <c r="L12" s="12" t="s">
        <v>31</v>
      </c>
      <c r="M12" s="12" t="s">
        <v>32</v>
      </c>
      <c r="N12" s="21" t="s">
        <v>74</v>
      </c>
      <c r="O12" s="4" t="s">
        <v>219</v>
      </c>
      <c r="P12" s="3" t="s">
        <v>219</v>
      </c>
      <c r="Q12" s="4" t="s">
        <v>219</v>
      </c>
      <c r="R12" s="3" t="s">
        <v>219</v>
      </c>
      <c r="S12" s="3" t="s">
        <v>219</v>
      </c>
      <c r="T12" s="12" t="s">
        <v>35</v>
      </c>
      <c r="U12" s="4" t="s">
        <v>219</v>
      </c>
      <c r="V12" s="3" t="s">
        <v>219</v>
      </c>
      <c r="W12" s="4" t="s">
        <v>219</v>
      </c>
      <c r="X12" s="3" t="s">
        <v>219</v>
      </c>
      <c r="Y12" s="3" t="s">
        <v>219</v>
      </c>
      <c r="Z12" s="11">
        <v>0</v>
      </c>
      <c r="AA12" s="11">
        <f t="shared" si="3"/>
        <v>750</v>
      </c>
      <c r="AB12" s="24"/>
    </row>
    <row r="13" spans="1:28" x14ac:dyDescent="0.3">
      <c r="A13" s="10">
        <f t="shared" si="0"/>
        <v>46115</v>
      </c>
      <c r="B13" s="21" t="s">
        <v>126</v>
      </c>
      <c r="C13" s="22">
        <v>1133656</v>
      </c>
      <c r="D13" s="21" t="s">
        <v>64</v>
      </c>
      <c r="E13" s="23">
        <v>46115</v>
      </c>
      <c r="F13" s="10">
        <f t="shared" ca="1" si="1"/>
        <v>0</v>
      </c>
      <c r="G13" s="23"/>
      <c r="H13" s="10">
        <f t="shared" ca="1" si="2"/>
        <v>0</v>
      </c>
      <c r="I13" s="3"/>
      <c r="J13" s="11"/>
      <c r="K13" s="12" t="s">
        <v>94</v>
      </c>
      <c r="L13" s="12" t="s">
        <v>31</v>
      </c>
      <c r="M13" s="12" t="s">
        <v>63</v>
      </c>
      <c r="N13" s="21"/>
      <c r="O13" s="4" t="s">
        <v>219</v>
      </c>
      <c r="P13" s="3" t="s">
        <v>219</v>
      </c>
      <c r="Q13" s="4" t="s">
        <v>219</v>
      </c>
      <c r="R13" s="3" t="s">
        <v>219</v>
      </c>
      <c r="S13" s="3" t="s">
        <v>219</v>
      </c>
      <c r="T13" s="12" t="s">
        <v>101</v>
      </c>
      <c r="U13" s="4" t="s">
        <v>219</v>
      </c>
      <c r="V13" s="3" t="s">
        <v>219</v>
      </c>
      <c r="W13" s="4" t="s">
        <v>219</v>
      </c>
      <c r="X13" s="3" t="s">
        <v>219</v>
      </c>
      <c r="Y13" s="3" t="s">
        <v>219</v>
      </c>
      <c r="Z13" s="11">
        <v>0</v>
      </c>
      <c r="AA13" s="11">
        <f t="shared" si="3"/>
        <v>0</v>
      </c>
      <c r="AB13" s="24" t="s">
        <v>183</v>
      </c>
    </row>
    <row r="14" spans="1:28" x14ac:dyDescent="0.3">
      <c r="A14" s="10">
        <f t="shared" si="0"/>
        <v>46115</v>
      </c>
      <c r="B14" s="21" t="s">
        <v>126</v>
      </c>
      <c r="C14" s="22">
        <v>1133657</v>
      </c>
      <c r="D14" s="21" t="s">
        <v>57</v>
      </c>
      <c r="E14" s="23">
        <v>46115</v>
      </c>
      <c r="F14" s="10">
        <f t="shared" ca="1" si="1"/>
        <v>0</v>
      </c>
      <c r="G14" s="23"/>
      <c r="H14" s="10">
        <f t="shared" ca="1" si="2"/>
        <v>0</v>
      </c>
      <c r="I14" s="3"/>
      <c r="J14" s="11"/>
      <c r="K14" s="12" t="s">
        <v>94</v>
      </c>
      <c r="L14" s="12" t="s">
        <v>31</v>
      </c>
      <c r="M14" s="12" t="s">
        <v>63</v>
      </c>
      <c r="N14" s="21"/>
      <c r="O14" s="4" t="s">
        <v>219</v>
      </c>
      <c r="P14" s="3" t="s">
        <v>219</v>
      </c>
      <c r="Q14" s="4" t="s">
        <v>219</v>
      </c>
      <c r="R14" s="3" t="s">
        <v>219</v>
      </c>
      <c r="S14" s="3" t="s">
        <v>219</v>
      </c>
      <c r="T14" s="12" t="s">
        <v>101</v>
      </c>
      <c r="U14" s="4" t="s">
        <v>219</v>
      </c>
      <c r="V14" s="3" t="s">
        <v>219</v>
      </c>
      <c r="W14" s="4" t="s">
        <v>219</v>
      </c>
      <c r="X14" s="3" t="s">
        <v>219</v>
      </c>
      <c r="Y14" s="3" t="s">
        <v>219</v>
      </c>
      <c r="Z14" s="11">
        <v>0</v>
      </c>
      <c r="AA14" s="11">
        <f t="shared" si="3"/>
        <v>0</v>
      </c>
      <c r="AB14" s="24" t="s">
        <v>183</v>
      </c>
    </row>
    <row r="15" spans="1:28" x14ac:dyDescent="0.3">
      <c r="A15" s="10">
        <f t="shared" si="0"/>
        <v>46115</v>
      </c>
      <c r="B15" s="21" t="s">
        <v>126</v>
      </c>
      <c r="C15" s="22">
        <v>1133658</v>
      </c>
      <c r="D15" s="21" t="s">
        <v>11</v>
      </c>
      <c r="E15" s="23">
        <v>46115</v>
      </c>
      <c r="F15" s="10">
        <f t="shared" ca="1" si="1"/>
        <v>0</v>
      </c>
      <c r="G15" s="23"/>
      <c r="H15" s="10">
        <f t="shared" ca="1" si="2"/>
        <v>0</v>
      </c>
      <c r="I15" s="3"/>
      <c r="J15" s="11"/>
      <c r="K15" s="12" t="s">
        <v>94</v>
      </c>
      <c r="L15" s="12" t="s">
        <v>98</v>
      </c>
      <c r="M15" s="12" t="s">
        <v>63</v>
      </c>
      <c r="N15" s="21"/>
      <c r="O15" s="4" t="s">
        <v>219</v>
      </c>
      <c r="P15" s="3" t="s">
        <v>219</v>
      </c>
      <c r="Q15" s="4" t="s">
        <v>219</v>
      </c>
      <c r="R15" s="3" t="s">
        <v>219</v>
      </c>
      <c r="S15" s="3" t="s">
        <v>219</v>
      </c>
      <c r="T15" s="12" t="s">
        <v>101</v>
      </c>
      <c r="U15" s="4" t="s">
        <v>219</v>
      </c>
      <c r="V15" s="3" t="s">
        <v>219</v>
      </c>
      <c r="W15" s="4" t="s">
        <v>219</v>
      </c>
      <c r="X15" s="3" t="s">
        <v>219</v>
      </c>
      <c r="Y15" s="3" t="s">
        <v>219</v>
      </c>
      <c r="Z15" s="11">
        <v>0</v>
      </c>
      <c r="AA15" s="11">
        <f t="shared" si="3"/>
        <v>0</v>
      </c>
      <c r="AB15" s="24" t="s">
        <v>181</v>
      </c>
    </row>
    <row r="16" spans="1:28" x14ac:dyDescent="0.3">
      <c r="A16" s="10">
        <f t="shared" si="0"/>
        <v>46115</v>
      </c>
      <c r="B16" s="21" t="s">
        <v>127</v>
      </c>
      <c r="C16" s="22">
        <v>1141955</v>
      </c>
      <c r="D16" s="21" t="s">
        <v>113</v>
      </c>
      <c r="E16" s="23">
        <v>46115</v>
      </c>
      <c r="F16" s="10">
        <f t="shared" ca="1" si="1"/>
        <v>0</v>
      </c>
      <c r="G16" s="23"/>
      <c r="H16" s="10">
        <f t="shared" ca="1" si="2"/>
        <v>0</v>
      </c>
      <c r="I16" s="3"/>
      <c r="J16" s="11">
        <v>436</v>
      </c>
      <c r="K16" s="12" t="s">
        <v>94</v>
      </c>
      <c r="L16" s="12" t="s">
        <v>31</v>
      </c>
      <c r="M16" s="12" t="s">
        <v>32</v>
      </c>
      <c r="N16" s="21" t="s">
        <v>87</v>
      </c>
      <c r="O16" s="4" t="s">
        <v>219</v>
      </c>
      <c r="P16" s="3" t="s">
        <v>219</v>
      </c>
      <c r="Q16" s="4" t="s">
        <v>219</v>
      </c>
      <c r="R16" s="3" t="s">
        <v>219</v>
      </c>
      <c r="S16" s="3" t="s">
        <v>219</v>
      </c>
      <c r="T16" s="12" t="s">
        <v>35</v>
      </c>
      <c r="U16" s="4" t="s">
        <v>219</v>
      </c>
      <c r="V16" s="3" t="s">
        <v>219</v>
      </c>
      <c r="W16" s="4" t="s">
        <v>219</v>
      </c>
      <c r="X16" s="3" t="s">
        <v>219</v>
      </c>
      <c r="Y16" s="3" t="s">
        <v>219</v>
      </c>
      <c r="Z16" s="11">
        <v>0</v>
      </c>
      <c r="AA16" s="11">
        <f t="shared" si="3"/>
        <v>436</v>
      </c>
      <c r="AB16" s="24"/>
    </row>
    <row r="17" spans="1:28" s="29" customFormat="1" x14ac:dyDescent="0.3">
      <c r="A17" s="8">
        <f t="shared" si="0"/>
        <v>46115</v>
      </c>
      <c r="B17" s="25" t="s">
        <v>73</v>
      </c>
      <c r="C17" s="26">
        <v>1152335</v>
      </c>
      <c r="D17" s="25" t="s">
        <v>11</v>
      </c>
      <c r="E17" s="27">
        <v>46115</v>
      </c>
      <c r="F17" s="8">
        <f t="shared" ca="1" si="1"/>
        <v>0</v>
      </c>
      <c r="G17" s="27"/>
      <c r="H17" s="8">
        <f t="shared" ca="1" si="2"/>
        <v>0</v>
      </c>
      <c r="I17" s="5" t="s">
        <v>82</v>
      </c>
      <c r="J17" s="9">
        <v>400</v>
      </c>
      <c r="K17" s="25" t="s">
        <v>94</v>
      </c>
      <c r="L17" s="25" t="s">
        <v>31</v>
      </c>
      <c r="M17" s="25" t="s">
        <v>32</v>
      </c>
      <c r="N17" s="25" t="s">
        <v>26</v>
      </c>
      <c r="O17" s="6"/>
      <c r="P17" s="5"/>
      <c r="Q17" s="6"/>
      <c r="R17" s="5"/>
      <c r="S17" s="5"/>
      <c r="T17" s="25" t="s">
        <v>101</v>
      </c>
      <c r="U17" s="6"/>
      <c r="V17" s="5"/>
      <c r="W17" s="6"/>
      <c r="X17" s="5"/>
      <c r="Y17" s="5"/>
      <c r="Z17" s="9">
        <v>389</v>
      </c>
      <c r="AA17" s="9">
        <f t="shared" si="3"/>
        <v>11</v>
      </c>
      <c r="AB17" s="28"/>
    </row>
    <row r="18" spans="1:28" s="29" customFormat="1" x14ac:dyDescent="0.3">
      <c r="A18" s="8">
        <f t="shared" si="0"/>
        <v>46115</v>
      </c>
      <c r="B18" s="25" t="s">
        <v>141</v>
      </c>
      <c r="C18" s="26">
        <v>1155282</v>
      </c>
      <c r="D18" s="25" t="s">
        <v>44</v>
      </c>
      <c r="E18" s="27">
        <v>46115</v>
      </c>
      <c r="F18" s="8">
        <f t="shared" ca="1" si="1"/>
        <v>0</v>
      </c>
      <c r="G18" s="27"/>
      <c r="H18" s="8">
        <f t="shared" ca="1" si="2"/>
        <v>0</v>
      </c>
      <c r="I18" s="5" t="s">
        <v>82</v>
      </c>
      <c r="J18" s="9">
        <v>300</v>
      </c>
      <c r="K18" s="25" t="s">
        <v>94</v>
      </c>
      <c r="L18" s="25" t="s">
        <v>31</v>
      </c>
      <c r="M18" s="25" t="s">
        <v>32</v>
      </c>
      <c r="N18" s="25" t="s">
        <v>179</v>
      </c>
      <c r="O18" s="6"/>
      <c r="P18" s="5"/>
      <c r="Q18" s="6"/>
      <c r="R18" s="5"/>
      <c r="S18" s="5"/>
      <c r="T18" s="25" t="s">
        <v>35</v>
      </c>
      <c r="U18" s="6"/>
      <c r="V18" s="5"/>
      <c r="W18" s="6"/>
      <c r="X18" s="5"/>
      <c r="Y18" s="5"/>
      <c r="Z18" s="9"/>
      <c r="AA18" s="9">
        <f t="shared" si="3"/>
        <v>300</v>
      </c>
      <c r="AB18" s="28"/>
    </row>
    <row r="19" spans="1:28" x14ac:dyDescent="0.3">
      <c r="A19" s="10">
        <f t="shared" si="0"/>
        <v>46116</v>
      </c>
      <c r="B19" s="21" t="s">
        <v>84</v>
      </c>
      <c r="C19" s="22">
        <v>1133287</v>
      </c>
      <c r="D19" s="21" t="s">
        <v>44</v>
      </c>
      <c r="E19" s="23">
        <v>46116</v>
      </c>
      <c r="F19" s="10">
        <f t="shared" ca="1" si="1"/>
        <v>0</v>
      </c>
      <c r="G19" s="23"/>
      <c r="H19" s="10">
        <f t="shared" ca="1" si="2"/>
        <v>0</v>
      </c>
      <c r="I19" s="3" t="s">
        <v>82</v>
      </c>
      <c r="J19" s="11">
        <v>609</v>
      </c>
      <c r="K19" s="12" t="s">
        <v>94</v>
      </c>
      <c r="L19" s="12" t="s">
        <v>31</v>
      </c>
      <c r="M19" s="12" t="s">
        <v>32</v>
      </c>
      <c r="N19" s="21" t="s">
        <v>74</v>
      </c>
      <c r="O19" s="4" t="s">
        <v>219</v>
      </c>
      <c r="P19" s="3" t="s">
        <v>219</v>
      </c>
      <c r="Q19" s="4" t="s">
        <v>219</v>
      </c>
      <c r="R19" s="3" t="s">
        <v>219</v>
      </c>
      <c r="S19" s="3" t="s">
        <v>219</v>
      </c>
      <c r="T19" s="12" t="s">
        <v>35</v>
      </c>
      <c r="U19" s="4" t="s">
        <v>219</v>
      </c>
      <c r="V19" s="3" t="s">
        <v>219</v>
      </c>
      <c r="W19" s="4" t="s">
        <v>219</v>
      </c>
      <c r="X19" s="3" t="s">
        <v>219</v>
      </c>
      <c r="Y19" s="3" t="s">
        <v>219</v>
      </c>
      <c r="Z19" s="11">
        <v>0</v>
      </c>
      <c r="AA19" s="11">
        <f t="shared" si="3"/>
        <v>609</v>
      </c>
      <c r="AB19" s="24"/>
    </row>
    <row r="20" spans="1:28" x14ac:dyDescent="0.3">
      <c r="A20" s="10">
        <f t="shared" si="0"/>
        <v>46116</v>
      </c>
      <c r="B20" s="21" t="s">
        <v>90</v>
      </c>
      <c r="C20" s="22">
        <v>1144344</v>
      </c>
      <c r="D20" s="21" t="s">
        <v>57</v>
      </c>
      <c r="E20" s="23">
        <v>46116</v>
      </c>
      <c r="F20" s="10">
        <f t="shared" ca="1" si="1"/>
        <v>0</v>
      </c>
      <c r="G20" s="23"/>
      <c r="H20" s="10">
        <f t="shared" ca="1" si="2"/>
        <v>0</v>
      </c>
      <c r="I20" s="3" t="s">
        <v>182</v>
      </c>
      <c r="J20" s="11">
        <v>551</v>
      </c>
      <c r="K20" s="12" t="s">
        <v>94</v>
      </c>
      <c r="L20" s="12" t="s">
        <v>31</v>
      </c>
      <c r="M20" s="12" t="s">
        <v>32</v>
      </c>
      <c r="N20" s="21" t="s">
        <v>74</v>
      </c>
      <c r="O20" s="4" t="s">
        <v>219</v>
      </c>
      <c r="P20" s="3" t="s">
        <v>219</v>
      </c>
      <c r="Q20" s="4" t="s">
        <v>219</v>
      </c>
      <c r="R20" s="3" t="s">
        <v>219</v>
      </c>
      <c r="S20" s="3" t="s">
        <v>219</v>
      </c>
      <c r="T20" s="12" t="s">
        <v>35</v>
      </c>
      <c r="U20" s="4" t="s">
        <v>219</v>
      </c>
      <c r="V20" s="3" t="s">
        <v>219</v>
      </c>
      <c r="W20" s="4" t="s">
        <v>219</v>
      </c>
      <c r="X20" s="3" t="s">
        <v>219</v>
      </c>
      <c r="Y20" s="3" t="s">
        <v>219</v>
      </c>
      <c r="Z20" s="11">
        <v>0</v>
      </c>
      <c r="AA20" s="11">
        <f t="shared" si="3"/>
        <v>551</v>
      </c>
      <c r="AB20" s="24"/>
    </row>
    <row r="21" spans="1:28" x14ac:dyDescent="0.3">
      <c r="A21" s="10">
        <f t="shared" si="0"/>
        <v>46116</v>
      </c>
      <c r="B21" s="21" t="s">
        <v>67</v>
      </c>
      <c r="C21" s="22">
        <v>1144351</v>
      </c>
      <c r="D21" s="21" t="s">
        <v>10</v>
      </c>
      <c r="E21" s="23">
        <v>46116</v>
      </c>
      <c r="F21" s="10">
        <f t="shared" ca="1" si="1"/>
        <v>0</v>
      </c>
      <c r="G21" s="23"/>
      <c r="H21" s="10">
        <f t="shared" ca="1" si="2"/>
        <v>0</v>
      </c>
      <c r="I21" s="3" t="s">
        <v>18</v>
      </c>
      <c r="J21" s="11">
        <v>396</v>
      </c>
      <c r="K21" s="12" t="s">
        <v>94</v>
      </c>
      <c r="L21" s="12" t="s">
        <v>31</v>
      </c>
      <c r="M21" s="12" t="s">
        <v>32</v>
      </c>
      <c r="N21" s="21" t="s">
        <v>74</v>
      </c>
      <c r="O21" s="4" t="s">
        <v>219</v>
      </c>
      <c r="P21" s="3" t="s">
        <v>219</v>
      </c>
      <c r="Q21" s="4" t="s">
        <v>219</v>
      </c>
      <c r="R21" s="3" t="s">
        <v>219</v>
      </c>
      <c r="S21" s="3" t="s">
        <v>219</v>
      </c>
      <c r="T21" s="12" t="s">
        <v>35</v>
      </c>
      <c r="U21" s="4" t="s">
        <v>219</v>
      </c>
      <c r="V21" s="3" t="s">
        <v>219</v>
      </c>
      <c r="W21" s="4" t="s">
        <v>219</v>
      </c>
      <c r="X21" s="3" t="s">
        <v>219</v>
      </c>
      <c r="Y21" s="3" t="s">
        <v>219</v>
      </c>
      <c r="Z21" s="11">
        <v>0</v>
      </c>
      <c r="AA21" s="11">
        <f t="shared" si="3"/>
        <v>396</v>
      </c>
      <c r="AB21" s="24" t="s">
        <v>110</v>
      </c>
    </row>
    <row r="22" spans="1:28" x14ac:dyDescent="0.3">
      <c r="A22" s="10">
        <f t="shared" si="0"/>
        <v>46116</v>
      </c>
      <c r="B22" s="21" t="s">
        <v>118</v>
      </c>
      <c r="C22" s="22">
        <v>1148098</v>
      </c>
      <c r="D22" s="21" t="s">
        <v>30</v>
      </c>
      <c r="E22" s="23">
        <v>46116</v>
      </c>
      <c r="F22" s="10">
        <f t="shared" ca="1" si="1"/>
        <v>0</v>
      </c>
      <c r="G22" s="23"/>
      <c r="H22" s="10">
        <f t="shared" ca="1" si="2"/>
        <v>0</v>
      </c>
      <c r="I22" s="3" t="s">
        <v>184</v>
      </c>
      <c r="J22" s="11">
        <v>499</v>
      </c>
      <c r="K22" s="12" t="s">
        <v>94</v>
      </c>
      <c r="L22" s="12" t="s">
        <v>31</v>
      </c>
      <c r="M22" s="12" t="s">
        <v>32</v>
      </c>
      <c r="N22" s="21" t="s">
        <v>74</v>
      </c>
      <c r="O22" s="4" t="s">
        <v>219</v>
      </c>
      <c r="P22" s="3" t="s">
        <v>219</v>
      </c>
      <c r="Q22" s="4" t="s">
        <v>219</v>
      </c>
      <c r="R22" s="3" t="s">
        <v>219</v>
      </c>
      <c r="S22" s="3" t="s">
        <v>219</v>
      </c>
      <c r="T22" s="12" t="s">
        <v>35</v>
      </c>
      <c r="U22" s="4" t="s">
        <v>219</v>
      </c>
      <c r="V22" s="3" t="s">
        <v>219</v>
      </c>
      <c r="W22" s="4" t="s">
        <v>219</v>
      </c>
      <c r="X22" s="3" t="s">
        <v>219</v>
      </c>
      <c r="Y22" s="3" t="s">
        <v>219</v>
      </c>
      <c r="Z22" s="11">
        <v>0</v>
      </c>
      <c r="AA22" s="11">
        <f t="shared" si="3"/>
        <v>499</v>
      </c>
      <c r="AB22" s="24" t="s">
        <v>185</v>
      </c>
    </row>
    <row r="23" spans="1:28" s="29" customFormat="1" x14ac:dyDescent="0.3">
      <c r="A23" s="8">
        <f t="shared" si="0"/>
        <v>46116</v>
      </c>
      <c r="B23" s="25" t="s">
        <v>102</v>
      </c>
      <c r="C23" s="26">
        <v>1148145</v>
      </c>
      <c r="D23" s="25" t="s">
        <v>5</v>
      </c>
      <c r="E23" s="27">
        <v>46116</v>
      </c>
      <c r="F23" s="8">
        <f t="shared" ca="1" si="1"/>
        <v>0</v>
      </c>
      <c r="G23" s="27"/>
      <c r="H23" s="8">
        <f t="shared" ca="1" si="2"/>
        <v>0</v>
      </c>
      <c r="I23" s="5" t="s">
        <v>114</v>
      </c>
      <c r="J23" s="9">
        <v>512</v>
      </c>
      <c r="K23" s="25" t="s">
        <v>94</v>
      </c>
      <c r="L23" s="25" t="s">
        <v>31</v>
      </c>
      <c r="M23" s="25" t="s">
        <v>32</v>
      </c>
      <c r="N23" s="25" t="s">
        <v>179</v>
      </c>
      <c r="O23" s="6"/>
      <c r="P23" s="5"/>
      <c r="Q23" s="6"/>
      <c r="R23" s="5"/>
      <c r="S23" s="5"/>
      <c r="T23" s="25" t="s">
        <v>35</v>
      </c>
      <c r="U23" s="6"/>
      <c r="V23" s="5"/>
      <c r="W23" s="6"/>
      <c r="X23" s="5"/>
      <c r="Y23" s="5"/>
      <c r="Z23" s="9"/>
      <c r="AA23" s="9">
        <f t="shared" si="3"/>
        <v>512</v>
      </c>
      <c r="AB23" s="28"/>
    </row>
    <row r="24" spans="1:28" x14ac:dyDescent="0.3">
      <c r="A24" s="10">
        <f t="shared" si="0"/>
        <v>46116</v>
      </c>
      <c r="B24" s="21" t="s">
        <v>48</v>
      </c>
      <c r="C24" s="22">
        <v>1149646</v>
      </c>
      <c r="D24" s="21" t="s">
        <v>49</v>
      </c>
      <c r="E24" s="23">
        <v>46116</v>
      </c>
      <c r="F24" s="10">
        <f t="shared" ca="1" si="1"/>
        <v>0</v>
      </c>
      <c r="G24" s="23"/>
      <c r="H24" s="10">
        <f t="shared" ca="1" si="2"/>
        <v>0</v>
      </c>
      <c r="I24" s="3" t="s">
        <v>81</v>
      </c>
      <c r="J24" s="11">
        <v>374</v>
      </c>
      <c r="K24" s="12" t="s">
        <v>94</v>
      </c>
      <c r="L24" s="12" t="s">
        <v>31</v>
      </c>
      <c r="M24" s="12" t="s">
        <v>32</v>
      </c>
      <c r="N24" s="21" t="s">
        <v>74</v>
      </c>
      <c r="O24" s="4" t="s">
        <v>219</v>
      </c>
      <c r="P24" s="3" t="s">
        <v>219</v>
      </c>
      <c r="Q24" s="4" t="s">
        <v>219</v>
      </c>
      <c r="R24" s="3" t="s">
        <v>219</v>
      </c>
      <c r="S24" s="3" t="s">
        <v>219</v>
      </c>
      <c r="T24" s="12" t="s">
        <v>35</v>
      </c>
      <c r="U24" s="4" t="s">
        <v>219</v>
      </c>
      <c r="V24" s="3" t="s">
        <v>219</v>
      </c>
      <c r="W24" s="4" t="s">
        <v>219</v>
      </c>
      <c r="X24" s="3" t="s">
        <v>219</v>
      </c>
      <c r="Y24" s="3" t="s">
        <v>219</v>
      </c>
      <c r="Z24" s="11">
        <v>0</v>
      </c>
      <c r="AA24" s="11">
        <f t="shared" si="3"/>
        <v>374</v>
      </c>
      <c r="AB24" s="24"/>
    </row>
    <row r="25" spans="1:28" s="29" customFormat="1" x14ac:dyDescent="0.3">
      <c r="A25" s="8">
        <f t="shared" si="0"/>
        <v>46116</v>
      </c>
      <c r="B25" s="25" t="s">
        <v>77</v>
      </c>
      <c r="C25" s="26">
        <v>1151681</v>
      </c>
      <c r="D25" s="25" t="s">
        <v>5</v>
      </c>
      <c r="E25" s="27">
        <v>46116</v>
      </c>
      <c r="F25" s="8">
        <f t="shared" ca="1" si="1"/>
        <v>0</v>
      </c>
      <c r="G25" s="27"/>
      <c r="H25" s="8">
        <f t="shared" ca="1" si="2"/>
        <v>0</v>
      </c>
      <c r="I25" s="5" t="s">
        <v>82</v>
      </c>
      <c r="J25" s="9">
        <v>763</v>
      </c>
      <c r="K25" s="25" t="s">
        <v>94</v>
      </c>
      <c r="L25" s="25" t="s">
        <v>31</v>
      </c>
      <c r="M25" s="25" t="s">
        <v>32</v>
      </c>
      <c r="N25" s="25" t="s">
        <v>26</v>
      </c>
      <c r="O25" s="6"/>
      <c r="P25" s="5"/>
      <c r="Q25" s="6"/>
      <c r="R25" s="5"/>
      <c r="S25" s="5"/>
      <c r="T25" s="25" t="s">
        <v>35</v>
      </c>
      <c r="U25" s="6"/>
      <c r="V25" s="5"/>
      <c r="W25" s="6"/>
      <c r="X25" s="5"/>
      <c r="Y25" s="5"/>
      <c r="Z25" s="9">
        <v>761</v>
      </c>
      <c r="AA25" s="9">
        <f t="shared" si="3"/>
        <v>2</v>
      </c>
      <c r="AB25" s="28"/>
    </row>
    <row r="26" spans="1:28" s="29" customFormat="1" x14ac:dyDescent="0.3">
      <c r="A26" s="8">
        <f t="shared" si="0"/>
        <v>46116</v>
      </c>
      <c r="B26" s="25" t="s">
        <v>70</v>
      </c>
      <c r="C26" s="26">
        <v>1153769</v>
      </c>
      <c r="D26" s="25" t="s">
        <v>71</v>
      </c>
      <c r="E26" s="27">
        <v>46116</v>
      </c>
      <c r="F26" s="8">
        <f t="shared" ca="1" si="1"/>
        <v>0</v>
      </c>
      <c r="G26" s="27"/>
      <c r="H26" s="8">
        <f t="shared" ca="1" si="2"/>
        <v>0</v>
      </c>
      <c r="I26" s="5" t="s">
        <v>82</v>
      </c>
      <c r="J26" s="9">
        <v>300</v>
      </c>
      <c r="K26" s="25" t="s">
        <v>94</v>
      </c>
      <c r="L26" s="25" t="s">
        <v>31</v>
      </c>
      <c r="M26" s="25" t="s">
        <v>32</v>
      </c>
      <c r="N26" s="25" t="s">
        <v>179</v>
      </c>
      <c r="O26" s="6"/>
      <c r="P26" s="5"/>
      <c r="Q26" s="6"/>
      <c r="R26" s="5"/>
      <c r="S26" s="5"/>
      <c r="T26" s="25" t="s">
        <v>35</v>
      </c>
      <c r="U26" s="6"/>
      <c r="V26" s="5"/>
      <c r="W26" s="6"/>
      <c r="X26" s="5"/>
      <c r="Y26" s="5"/>
      <c r="Z26" s="9"/>
      <c r="AA26" s="9">
        <f t="shared" si="3"/>
        <v>300</v>
      </c>
      <c r="AB26" s="28"/>
    </row>
    <row r="27" spans="1:28" s="29" customFormat="1" x14ac:dyDescent="0.3">
      <c r="A27" s="8">
        <f t="shared" si="0"/>
        <v>46116</v>
      </c>
      <c r="B27" s="25" t="s">
        <v>68</v>
      </c>
      <c r="C27" s="26">
        <v>1153771</v>
      </c>
      <c r="D27" s="25" t="s">
        <v>109</v>
      </c>
      <c r="E27" s="27">
        <v>46116</v>
      </c>
      <c r="F27" s="8">
        <f t="shared" ca="1" si="1"/>
        <v>0</v>
      </c>
      <c r="G27" s="27"/>
      <c r="H27" s="8">
        <f t="shared" ca="1" si="2"/>
        <v>0</v>
      </c>
      <c r="I27" s="5" t="s">
        <v>82</v>
      </c>
      <c r="J27" s="9">
        <v>252</v>
      </c>
      <c r="K27" s="25" t="s">
        <v>94</v>
      </c>
      <c r="L27" s="25" t="s">
        <v>31</v>
      </c>
      <c r="M27" s="25" t="s">
        <v>32</v>
      </c>
      <c r="N27" s="25" t="s">
        <v>26</v>
      </c>
      <c r="O27" s="6"/>
      <c r="P27" s="5"/>
      <c r="Q27" s="6"/>
      <c r="R27" s="5"/>
      <c r="S27" s="5"/>
      <c r="T27" s="25" t="s">
        <v>35</v>
      </c>
      <c r="U27" s="6"/>
      <c r="V27" s="5"/>
      <c r="W27" s="6"/>
      <c r="X27" s="5"/>
      <c r="Y27" s="5"/>
      <c r="Z27" s="9">
        <v>252</v>
      </c>
      <c r="AA27" s="9">
        <f t="shared" si="3"/>
        <v>0</v>
      </c>
      <c r="AB27" s="28"/>
    </row>
    <row r="28" spans="1:28" s="29" customFormat="1" x14ac:dyDescent="0.3">
      <c r="A28" s="8">
        <f t="shared" si="0"/>
        <v>3</v>
      </c>
      <c r="B28" s="25" t="s">
        <v>105</v>
      </c>
      <c r="C28" s="26">
        <v>1153833</v>
      </c>
      <c r="D28" s="25" t="s">
        <v>13</v>
      </c>
      <c r="E28" s="27">
        <v>46116</v>
      </c>
      <c r="F28" s="8">
        <f t="shared" ca="1" si="1"/>
        <v>0</v>
      </c>
      <c r="G28" s="27">
        <v>46113</v>
      </c>
      <c r="H28" s="8">
        <f t="shared" ca="1" si="2"/>
        <v>0</v>
      </c>
      <c r="I28" s="5" t="s">
        <v>28</v>
      </c>
      <c r="J28" s="9">
        <v>296</v>
      </c>
      <c r="K28" s="25" t="s">
        <v>94</v>
      </c>
      <c r="L28" s="25" t="s">
        <v>31</v>
      </c>
      <c r="M28" s="25" t="s">
        <v>32</v>
      </c>
      <c r="N28" s="25" t="s">
        <v>179</v>
      </c>
      <c r="O28" s="6"/>
      <c r="P28" s="5"/>
      <c r="Q28" s="6"/>
      <c r="R28" s="5"/>
      <c r="S28" s="5"/>
      <c r="T28" s="25" t="s">
        <v>35</v>
      </c>
      <c r="U28" s="6"/>
      <c r="V28" s="5"/>
      <c r="W28" s="6"/>
      <c r="X28" s="5"/>
      <c r="Y28" s="5"/>
      <c r="Z28" s="9"/>
      <c r="AA28" s="9">
        <f t="shared" si="3"/>
        <v>296</v>
      </c>
      <c r="AB28" s="28"/>
    </row>
    <row r="29" spans="1:28" x14ac:dyDescent="0.3">
      <c r="A29" s="10">
        <f t="shared" si="0"/>
        <v>2</v>
      </c>
      <c r="B29" s="21" t="s">
        <v>104</v>
      </c>
      <c r="C29" s="22">
        <v>1153848</v>
      </c>
      <c r="D29" s="21" t="s">
        <v>119</v>
      </c>
      <c r="E29" s="23">
        <v>46116</v>
      </c>
      <c r="F29" s="10">
        <f t="shared" ca="1" si="1"/>
        <v>0</v>
      </c>
      <c r="G29" s="23">
        <v>46114</v>
      </c>
      <c r="H29" s="10">
        <f t="shared" ca="1" si="2"/>
        <v>0</v>
      </c>
      <c r="I29" s="3" t="s">
        <v>20</v>
      </c>
      <c r="J29" s="11">
        <v>438</v>
      </c>
      <c r="K29" s="12" t="s">
        <v>94</v>
      </c>
      <c r="L29" s="12" t="s">
        <v>31</v>
      </c>
      <c r="M29" s="12" t="s">
        <v>32</v>
      </c>
      <c r="N29" s="21" t="s">
        <v>74</v>
      </c>
      <c r="O29" s="4" t="s">
        <v>219</v>
      </c>
      <c r="P29" s="3" t="s">
        <v>219</v>
      </c>
      <c r="Q29" s="4" t="s">
        <v>219</v>
      </c>
      <c r="R29" s="3" t="s">
        <v>219</v>
      </c>
      <c r="S29" s="3" t="s">
        <v>219</v>
      </c>
      <c r="T29" s="12" t="s">
        <v>35</v>
      </c>
      <c r="U29" s="4" t="s">
        <v>219</v>
      </c>
      <c r="V29" s="3" t="s">
        <v>219</v>
      </c>
      <c r="W29" s="4" t="s">
        <v>219</v>
      </c>
      <c r="X29" s="3" t="s">
        <v>219</v>
      </c>
      <c r="Y29" s="3" t="s">
        <v>219</v>
      </c>
      <c r="Z29" s="11">
        <v>0</v>
      </c>
      <c r="AA29" s="11">
        <f t="shared" si="3"/>
        <v>438</v>
      </c>
      <c r="AB29" s="24"/>
    </row>
    <row r="30" spans="1:28" s="29" customFormat="1" x14ac:dyDescent="0.3">
      <c r="A30" s="8">
        <f t="shared" si="0"/>
        <v>46116</v>
      </c>
      <c r="B30" s="25" t="s">
        <v>112</v>
      </c>
      <c r="C30" s="26">
        <v>1157665</v>
      </c>
      <c r="D30" s="25" t="s">
        <v>113</v>
      </c>
      <c r="E30" s="27">
        <v>46116</v>
      </c>
      <c r="F30" s="8">
        <f t="shared" ca="1" si="1"/>
        <v>0</v>
      </c>
      <c r="G30" s="27"/>
      <c r="H30" s="8">
        <f t="shared" ca="1" si="2"/>
        <v>0</v>
      </c>
      <c r="I30" s="5" t="s">
        <v>18</v>
      </c>
      <c r="J30" s="9">
        <v>495</v>
      </c>
      <c r="K30" s="25" t="s">
        <v>94</v>
      </c>
      <c r="L30" s="25" t="s">
        <v>31</v>
      </c>
      <c r="M30" s="25" t="s">
        <v>32</v>
      </c>
      <c r="N30" s="25" t="s">
        <v>26</v>
      </c>
      <c r="O30" s="6"/>
      <c r="P30" s="5"/>
      <c r="Q30" s="6"/>
      <c r="R30" s="5"/>
      <c r="S30" s="5"/>
      <c r="T30" s="25" t="s">
        <v>35</v>
      </c>
      <c r="U30" s="6"/>
      <c r="V30" s="5"/>
      <c r="W30" s="6"/>
      <c r="X30" s="5"/>
      <c r="Y30" s="5"/>
      <c r="Z30" s="9">
        <v>495</v>
      </c>
      <c r="AA30" s="9">
        <f t="shared" si="3"/>
        <v>0</v>
      </c>
      <c r="AB30" s="28"/>
    </row>
    <row r="31" spans="1:28" x14ac:dyDescent="0.3">
      <c r="A31" s="10">
        <f t="shared" si="0"/>
        <v>46116</v>
      </c>
      <c r="B31" s="21" t="s">
        <v>147</v>
      </c>
      <c r="C31" s="22">
        <v>1157670</v>
      </c>
      <c r="D31" s="21" t="s">
        <v>11</v>
      </c>
      <c r="E31" s="23">
        <v>46116</v>
      </c>
      <c r="F31" s="10">
        <f t="shared" ca="1" si="1"/>
        <v>0</v>
      </c>
      <c r="G31" s="23"/>
      <c r="H31" s="10">
        <f t="shared" ca="1" si="2"/>
        <v>0</v>
      </c>
      <c r="I31" s="3"/>
      <c r="J31" s="11">
        <v>501</v>
      </c>
      <c r="K31" s="12" t="s">
        <v>94</v>
      </c>
      <c r="L31" s="12" t="s">
        <v>31</v>
      </c>
      <c r="M31" s="12" t="s">
        <v>32</v>
      </c>
      <c r="N31" s="21" t="s">
        <v>87</v>
      </c>
      <c r="O31" s="4" t="s">
        <v>219</v>
      </c>
      <c r="P31" s="3" t="s">
        <v>219</v>
      </c>
      <c r="Q31" s="4" t="s">
        <v>219</v>
      </c>
      <c r="R31" s="3" t="s">
        <v>219</v>
      </c>
      <c r="S31" s="3" t="s">
        <v>219</v>
      </c>
      <c r="T31" s="12" t="s">
        <v>101</v>
      </c>
      <c r="U31" s="4" t="s">
        <v>219</v>
      </c>
      <c r="V31" s="3" t="s">
        <v>219</v>
      </c>
      <c r="W31" s="4" t="s">
        <v>219</v>
      </c>
      <c r="X31" s="3" t="s">
        <v>219</v>
      </c>
      <c r="Y31" s="3" t="s">
        <v>219</v>
      </c>
      <c r="Z31" s="11">
        <v>0</v>
      </c>
      <c r="AA31" s="11">
        <f t="shared" si="3"/>
        <v>501</v>
      </c>
      <c r="AB31" s="24"/>
    </row>
    <row r="32" spans="1:28" s="29" customFormat="1" x14ac:dyDescent="0.3">
      <c r="A32" s="8">
        <f t="shared" si="0"/>
        <v>46116</v>
      </c>
      <c r="B32" s="25" t="s">
        <v>156</v>
      </c>
      <c r="C32" s="26">
        <v>1157678</v>
      </c>
      <c r="D32" s="25" t="s">
        <v>10</v>
      </c>
      <c r="E32" s="27">
        <v>46116</v>
      </c>
      <c r="F32" s="8">
        <f t="shared" ca="1" si="1"/>
        <v>0</v>
      </c>
      <c r="G32" s="27"/>
      <c r="H32" s="8">
        <f t="shared" ca="1" si="2"/>
        <v>0</v>
      </c>
      <c r="I32" s="5" t="s">
        <v>19</v>
      </c>
      <c r="J32" s="9">
        <v>329</v>
      </c>
      <c r="K32" s="25" t="s">
        <v>94</v>
      </c>
      <c r="L32" s="25" t="s">
        <v>31</v>
      </c>
      <c r="M32" s="25" t="s">
        <v>32</v>
      </c>
      <c r="N32" s="25" t="s">
        <v>179</v>
      </c>
      <c r="O32" s="6"/>
      <c r="P32" s="5"/>
      <c r="Q32" s="6"/>
      <c r="R32" s="5"/>
      <c r="S32" s="5"/>
      <c r="T32" s="25" t="s">
        <v>35</v>
      </c>
      <c r="U32" s="6"/>
      <c r="V32" s="5"/>
      <c r="W32" s="6"/>
      <c r="X32" s="5"/>
      <c r="Y32" s="5"/>
      <c r="Z32" s="9"/>
      <c r="AA32" s="9">
        <f t="shared" si="3"/>
        <v>329</v>
      </c>
      <c r="AB32" s="28"/>
    </row>
    <row r="33" spans="1:28" s="29" customFormat="1" x14ac:dyDescent="0.3">
      <c r="A33" s="8">
        <f t="shared" si="0"/>
        <v>46116</v>
      </c>
      <c r="B33" s="25" t="s">
        <v>17</v>
      </c>
      <c r="C33" s="26">
        <v>1157696</v>
      </c>
      <c r="D33" s="25" t="s">
        <v>50</v>
      </c>
      <c r="E33" s="27">
        <v>46116</v>
      </c>
      <c r="F33" s="8">
        <f t="shared" ca="1" si="1"/>
        <v>0</v>
      </c>
      <c r="G33" s="27"/>
      <c r="H33" s="8">
        <f t="shared" ca="1" si="2"/>
        <v>0</v>
      </c>
      <c r="I33" s="5" t="s">
        <v>22</v>
      </c>
      <c r="J33" s="9">
        <v>496</v>
      </c>
      <c r="K33" s="25" t="s">
        <v>94</v>
      </c>
      <c r="L33" s="25" t="s">
        <v>31</v>
      </c>
      <c r="M33" s="25" t="s">
        <v>32</v>
      </c>
      <c r="N33" s="25" t="s">
        <v>26</v>
      </c>
      <c r="O33" s="6"/>
      <c r="P33" s="5"/>
      <c r="Q33" s="6"/>
      <c r="R33" s="5"/>
      <c r="S33" s="5"/>
      <c r="T33" s="25" t="s">
        <v>35</v>
      </c>
      <c r="U33" s="6"/>
      <c r="V33" s="5"/>
      <c r="W33" s="6"/>
      <c r="X33" s="5"/>
      <c r="Y33" s="5"/>
      <c r="Z33" s="9">
        <v>492</v>
      </c>
      <c r="AA33" s="9">
        <f t="shared" si="3"/>
        <v>4</v>
      </c>
      <c r="AB33" s="28"/>
    </row>
    <row r="34" spans="1:28" x14ac:dyDescent="0.3">
      <c r="A34" s="10">
        <f t="shared" ref="A34:A65" si="4">E34-G34</f>
        <v>46116</v>
      </c>
      <c r="B34" s="21" t="s">
        <v>147</v>
      </c>
      <c r="C34" s="22">
        <v>1157697</v>
      </c>
      <c r="D34" s="21" t="s">
        <v>13</v>
      </c>
      <c r="E34" s="23">
        <v>46116</v>
      </c>
      <c r="F34" s="10">
        <f t="shared" ref="F34:F65" ca="1" si="5">IF(AND(E34&gt;=TODAY(),E34&lt;=TODAY()+5),1,IF(AND(E34&gt;TODAY()+1,E34&lt;=TODAY()+10),2,IF(AND(E34&gt;TODAY()+2,E34&lt;=TODAY()+15),3,IF(AND(E34&gt;TODAY()+3,E34&lt;=TODAY()+365),4,0))))</f>
        <v>0</v>
      </c>
      <c r="G34" s="23"/>
      <c r="H34" s="10">
        <f t="shared" ref="H34:H65" ca="1" si="6">IF(AND(G34&gt;=TODAY(),G34&lt;=TODAY()+5),1,IF(AND(G34&gt;TODAY()+1,G34&lt;=TODAY()+10),2,IF(AND(G34&gt;TODAY()+2,G34&lt;=TODAY()+15),3,IF(AND(G34&gt;TODAY()+3,G34&lt;=TODAY()+365),4,0))))</f>
        <v>0</v>
      </c>
      <c r="I34" s="3"/>
      <c r="J34" s="11">
        <v>410</v>
      </c>
      <c r="K34" s="12" t="s">
        <v>94</v>
      </c>
      <c r="L34" s="12" t="s">
        <v>31</v>
      </c>
      <c r="M34" s="12" t="s">
        <v>32</v>
      </c>
      <c r="N34" s="21" t="s">
        <v>87</v>
      </c>
      <c r="O34" s="4" t="s">
        <v>219</v>
      </c>
      <c r="P34" s="3" t="s">
        <v>219</v>
      </c>
      <c r="Q34" s="4" t="s">
        <v>219</v>
      </c>
      <c r="R34" s="3" t="s">
        <v>219</v>
      </c>
      <c r="S34" s="3" t="s">
        <v>219</v>
      </c>
      <c r="T34" s="12" t="s">
        <v>101</v>
      </c>
      <c r="U34" s="4" t="s">
        <v>219</v>
      </c>
      <c r="V34" s="3" t="s">
        <v>219</v>
      </c>
      <c r="W34" s="4" t="s">
        <v>219</v>
      </c>
      <c r="X34" s="3" t="s">
        <v>219</v>
      </c>
      <c r="Y34" s="3" t="s">
        <v>219</v>
      </c>
      <c r="Z34" s="11">
        <v>0</v>
      </c>
      <c r="AA34" s="11">
        <f t="shared" ref="AA34:AA65" si="7">J34-Z34</f>
        <v>410</v>
      </c>
      <c r="AB34" s="24"/>
    </row>
    <row r="35" spans="1:28" s="29" customFormat="1" x14ac:dyDescent="0.3">
      <c r="A35" s="8">
        <f t="shared" si="4"/>
        <v>46116</v>
      </c>
      <c r="B35" s="25" t="s">
        <v>111</v>
      </c>
      <c r="C35" s="26">
        <v>1157726</v>
      </c>
      <c r="D35" s="25" t="s">
        <v>6</v>
      </c>
      <c r="E35" s="27">
        <v>46116</v>
      </c>
      <c r="F35" s="8">
        <f t="shared" ca="1" si="5"/>
        <v>0</v>
      </c>
      <c r="G35" s="27"/>
      <c r="H35" s="8">
        <f t="shared" ca="1" si="6"/>
        <v>0</v>
      </c>
      <c r="I35" s="5" t="s">
        <v>19</v>
      </c>
      <c r="J35" s="9">
        <v>502</v>
      </c>
      <c r="K35" s="25" t="s">
        <v>94</v>
      </c>
      <c r="L35" s="25" t="s">
        <v>31</v>
      </c>
      <c r="M35" s="25" t="s">
        <v>32</v>
      </c>
      <c r="N35" s="25" t="s">
        <v>26</v>
      </c>
      <c r="O35" s="6"/>
      <c r="P35" s="5"/>
      <c r="Q35" s="6"/>
      <c r="R35" s="5"/>
      <c r="S35" s="5"/>
      <c r="T35" s="25" t="s">
        <v>35</v>
      </c>
      <c r="U35" s="6"/>
      <c r="V35" s="5"/>
      <c r="W35" s="6"/>
      <c r="X35" s="5"/>
      <c r="Y35" s="5"/>
      <c r="Z35" s="9">
        <v>500</v>
      </c>
      <c r="AA35" s="9">
        <f t="shared" si="7"/>
        <v>2</v>
      </c>
      <c r="AB35" s="28"/>
    </row>
    <row r="36" spans="1:28" x14ac:dyDescent="0.3">
      <c r="A36" s="10">
        <f t="shared" si="4"/>
        <v>46116</v>
      </c>
      <c r="B36" s="21" t="s">
        <v>48</v>
      </c>
      <c r="C36" s="22">
        <v>1157942</v>
      </c>
      <c r="D36" s="21" t="s">
        <v>6</v>
      </c>
      <c r="E36" s="23">
        <v>46116</v>
      </c>
      <c r="F36" s="10">
        <f t="shared" ca="1" si="5"/>
        <v>0</v>
      </c>
      <c r="G36" s="23"/>
      <c r="H36" s="10">
        <f t="shared" ca="1" si="6"/>
        <v>0</v>
      </c>
      <c r="I36" s="3"/>
      <c r="J36" s="11"/>
      <c r="K36" s="12" t="s">
        <v>94</v>
      </c>
      <c r="L36" s="12" t="s">
        <v>98</v>
      </c>
      <c r="M36" s="12" t="s">
        <v>175</v>
      </c>
      <c r="N36" s="21"/>
      <c r="O36" s="4" t="s">
        <v>219</v>
      </c>
      <c r="P36" s="3" t="s">
        <v>219</v>
      </c>
      <c r="Q36" s="4"/>
      <c r="R36" s="3"/>
      <c r="S36" s="3"/>
      <c r="T36" s="12" t="s">
        <v>101</v>
      </c>
      <c r="U36" s="4" t="s">
        <v>219</v>
      </c>
      <c r="V36" s="3" t="s">
        <v>219</v>
      </c>
      <c r="W36" s="4" t="s">
        <v>219</v>
      </c>
      <c r="X36" s="3" t="s">
        <v>219</v>
      </c>
      <c r="Y36" s="3" t="s">
        <v>219</v>
      </c>
      <c r="Z36" s="11">
        <v>0</v>
      </c>
      <c r="AA36" s="11">
        <f t="shared" si="7"/>
        <v>0</v>
      </c>
      <c r="AB36" s="24" t="s">
        <v>200</v>
      </c>
    </row>
    <row r="37" spans="1:28" x14ac:dyDescent="0.3">
      <c r="A37" s="10">
        <f t="shared" si="4"/>
        <v>46116</v>
      </c>
      <c r="B37" s="21" t="s">
        <v>48</v>
      </c>
      <c r="C37" s="22">
        <v>1157957</v>
      </c>
      <c r="D37" s="21" t="s">
        <v>11</v>
      </c>
      <c r="E37" s="23">
        <v>46116</v>
      </c>
      <c r="F37" s="10">
        <f t="shared" ca="1" si="5"/>
        <v>0</v>
      </c>
      <c r="G37" s="23"/>
      <c r="H37" s="10">
        <f t="shared" ca="1" si="6"/>
        <v>0</v>
      </c>
      <c r="I37" s="3"/>
      <c r="J37" s="11"/>
      <c r="K37" s="12" t="s">
        <v>94</v>
      </c>
      <c r="L37" s="12" t="s">
        <v>98</v>
      </c>
      <c r="M37" s="12" t="s">
        <v>175</v>
      </c>
      <c r="N37" s="21"/>
      <c r="O37" s="4" t="s">
        <v>219</v>
      </c>
      <c r="P37" s="3" t="s">
        <v>219</v>
      </c>
      <c r="Q37" s="4" t="s">
        <v>219</v>
      </c>
      <c r="R37" s="3" t="s">
        <v>219</v>
      </c>
      <c r="S37" s="3" t="s">
        <v>219</v>
      </c>
      <c r="T37" s="12" t="s">
        <v>101</v>
      </c>
      <c r="U37" s="4" t="s">
        <v>219</v>
      </c>
      <c r="V37" s="3" t="s">
        <v>219</v>
      </c>
      <c r="W37" s="4" t="s">
        <v>219</v>
      </c>
      <c r="X37" s="3" t="s">
        <v>219</v>
      </c>
      <c r="Y37" s="3" t="s">
        <v>219</v>
      </c>
      <c r="Z37" s="11">
        <v>0</v>
      </c>
      <c r="AA37" s="11">
        <f t="shared" si="7"/>
        <v>0</v>
      </c>
      <c r="AB37" s="24" t="s">
        <v>199</v>
      </c>
    </row>
    <row r="38" spans="1:28" x14ac:dyDescent="0.3">
      <c r="A38" s="10">
        <f t="shared" si="4"/>
        <v>46116</v>
      </c>
      <c r="B38" s="21" t="s">
        <v>48</v>
      </c>
      <c r="C38" s="22">
        <v>1157961</v>
      </c>
      <c r="D38" s="21" t="s">
        <v>49</v>
      </c>
      <c r="E38" s="23">
        <v>46116</v>
      </c>
      <c r="F38" s="10">
        <f t="shared" ca="1" si="5"/>
        <v>0</v>
      </c>
      <c r="G38" s="23"/>
      <c r="H38" s="10">
        <f t="shared" ca="1" si="6"/>
        <v>0</v>
      </c>
      <c r="I38" s="3"/>
      <c r="J38" s="11"/>
      <c r="K38" s="12" t="s">
        <v>94</v>
      </c>
      <c r="L38" s="12" t="s">
        <v>98</v>
      </c>
      <c r="M38" s="12" t="s">
        <v>175</v>
      </c>
      <c r="N38" s="21"/>
      <c r="O38" s="4" t="s">
        <v>219</v>
      </c>
      <c r="P38" s="3" t="s">
        <v>219</v>
      </c>
      <c r="Q38" s="4" t="s">
        <v>219</v>
      </c>
      <c r="R38" s="3" t="s">
        <v>219</v>
      </c>
      <c r="S38" s="3" t="s">
        <v>219</v>
      </c>
      <c r="T38" s="12" t="s">
        <v>101</v>
      </c>
      <c r="U38" s="4" t="s">
        <v>219</v>
      </c>
      <c r="V38" s="3" t="s">
        <v>219</v>
      </c>
      <c r="W38" s="4" t="s">
        <v>219</v>
      </c>
      <c r="X38" s="3" t="s">
        <v>219</v>
      </c>
      <c r="Y38" s="3" t="s">
        <v>219</v>
      </c>
      <c r="Z38" s="11">
        <v>0</v>
      </c>
      <c r="AA38" s="11">
        <f t="shared" si="7"/>
        <v>0</v>
      </c>
      <c r="AB38" s="24"/>
    </row>
    <row r="39" spans="1:28" x14ac:dyDescent="0.3">
      <c r="A39" s="10">
        <f t="shared" si="4"/>
        <v>46116</v>
      </c>
      <c r="B39" s="21" t="s">
        <v>153</v>
      </c>
      <c r="C39" s="22">
        <v>1158270</v>
      </c>
      <c r="D39" s="21" t="s">
        <v>167</v>
      </c>
      <c r="E39" s="23">
        <v>46116</v>
      </c>
      <c r="F39" s="10">
        <f t="shared" ca="1" si="5"/>
        <v>0</v>
      </c>
      <c r="G39" s="23"/>
      <c r="H39" s="10">
        <f t="shared" ca="1" si="6"/>
        <v>0</v>
      </c>
      <c r="I39" s="3"/>
      <c r="J39" s="11"/>
      <c r="K39" s="12" t="s">
        <v>94</v>
      </c>
      <c r="L39" s="12" t="s">
        <v>98</v>
      </c>
      <c r="M39" s="12" t="s">
        <v>63</v>
      </c>
      <c r="N39" s="21"/>
      <c r="O39" s="4" t="s">
        <v>219</v>
      </c>
      <c r="P39" s="3" t="s">
        <v>219</v>
      </c>
      <c r="Q39" s="4" t="s">
        <v>219</v>
      </c>
      <c r="R39" s="3" t="s">
        <v>219</v>
      </c>
      <c r="S39" s="3" t="s">
        <v>219</v>
      </c>
      <c r="T39" s="12" t="s">
        <v>101</v>
      </c>
      <c r="U39" s="4" t="s">
        <v>219</v>
      </c>
      <c r="V39" s="3" t="s">
        <v>219</v>
      </c>
      <c r="W39" s="4" t="s">
        <v>219</v>
      </c>
      <c r="X39" s="3" t="s">
        <v>219</v>
      </c>
      <c r="Y39" s="3" t="s">
        <v>219</v>
      </c>
      <c r="Z39" s="11">
        <v>0</v>
      </c>
      <c r="AA39" s="11">
        <f t="shared" si="7"/>
        <v>0</v>
      </c>
      <c r="AB39" s="24" t="s">
        <v>196</v>
      </c>
    </row>
    <row r="40" spans="1:28" x14ac:dyDescent="0.3">
      <c r="A40" s="10">
        <f t="shared" si="4"/>
        <v>46116</v>
      </c>
      <c r="B40" s="21" t="s">
        <v>78</v>
      </c>
      <c r="C40" s="22">
        <v>1159221</v>
      </c>
      <c r="D40" s="21" t="s">
        <v>10</v>
      </c>
      <c r="E40" s="23">
        <v>46116</v>
      </c>
      <c r="F40" s="10">
        <f t="shared" ca="1" si="5"/>
        <v>0</v>
      </c>
      <c r="G40" s="23"/>
      <c r="H40" s="10">
        <f t="shared" ca="1" si="6"/>
        <v>0</v>
      </c>
      <c r="I40" s="3"/>
      <c r="J40" s="11"/>
      <c r="K40" s="12" t="s">
        <v>94</v>
      </c>
      <c r="L40" s="12" t="s">
        <v>98</v>
      </c>
      <c r="M40" s="12" t="s">
        <v>175</v>
      </c>
      <c r="N40" s="21"/>
      <c r="O40" s="4" t="s">
        <v>219</v>
      </c>
      <c r="P40" s="3" t="s">
        <v>219</v>
      </c>
      <c r="Q40" s="4" t="s">
        <v>219</v>
      </c>
      <c r="R40" s="3" t="s">
        <v>219</v>
      </c>
      <c r="S40" s="3" t="s">
        <v>219</v>
      </c>
      <c r="T40" s="12" t="s">
        <v>101</v>
      </c>
      <c r="U40" s="4" t="s">
        <v>219</v>
      </c>
      <c r="V40" s="3" t="s">
        <v>219</v>
      </c>
      <c r="W40" s="4" t="s">
        <v>219</v>
      </c>
      <c r="X40" s="3" t="s">
        <v>219</v>
      </c>
      <c r="Y40" s="3" t="s">
        <v>219</v>
      </c>
      <c r="Z40" s="11">
        <v>0</v>
      </c>
      <c r="AA40" s="11">
        <f t="shared" si="7"/>
        <v>0</v>
      </c>
      <c r="AB40" s="24"/>
    </row>
    <row r="41" spans="1:28" x14ac:dyDescent="0.3">
      <c r="A41" s="10">
        <f t="shared" si="4"/>
        <v>46118</v>
      </c>
      <c r="B41" s="21" t="s">
        <v>40</v>
      </c>
      <c r="C41" s="22">
        <v>1128603</v>
      </c>
      <c r="D41" s="21" t="s">
        <v>9</v>
      </c>
      <c r="E41" s="23">
        <v>46118</v>
      </c>
      <c r="F41" s="10">
        <f t="shared" ca="1" si="5"/>
        <v>1</v>
      </c>
      <c r="G41" s="23"/>
      <c r="H41" s="10">
        <f t="shared" ca="1" si="6"/>
        <v>0</v>
      </c>
      <c r="I41" s="3"/>
      <c r="J41" s="11"/>
      <c r="K41" s="12" t="s">
        <v>94</v>
      </c>
      <c r="L41" s="12" t="s">
        <v>31</v>
      </c>
      <c r="M41" s="12" t="s">
        <v>175</v>
      </c>
      <c r="N41" s="21"/>
      <c r="O41" s="4" t="s">
        <v>219</v>
      </c>
      <c r="P41" s="3" t="s">
        <v>219</v>
      </c>
      <c r="Q41" s="4" t="s">
        <v>219</v>
      </c>
      <c r="R41" s="3" t="s">
        <v>219</v>
      </c>
      <c r="S41" s="3" t="s">
        <v>219</v>
      </c>
      <c r="T41" s="12" t="s">
        <v>101</v>
      </c>
      <c r="U41" s="4" t="s">
        <v>219</v>
      </c>
      <c r="V41" s="3" t="s">
        <v>219</v>
      </c>
      <c r="W41" s="4" t="s">
        <v>219</v>
      </c>
      <c r="X41" s="3" t="s">
        <v>219</v>
      </c>
      <c r="Y41" s="3" t="s">
        <v>219</v>
      </c>
      <c r="Z41" s="11">
        <v>0</v>
      </c>
      <c r="AA41" s="11">
        <f t="shared" si="7"/>
        <v>0</v>
      </c>
      <c r="AB41" s="24" t="s">
        <v>120</v>
      </c>
    </row>
    <row r="42" spans="1:28" x14ac:dyDescent="0.3">
      <c r="A42" s="10">
        <f t="shared" si="4"/>
        <v>46118</v>
      </c>
      <c r="B42" s="21" t="s">
        <v>111</v>
      </c>
      <c r="C42" s="22">
        <v>1156854</v>
      </c>
      <c r="D42" s="21" t="s">
        <v>13</v>
      </c>
      <c r="E42" s="23">
        <v>46118</v>
      </c>
      <c r="F42" s="10">
        <f t="shared" ca="1" si="5"/>
        <v>1</v>
      </c>
      <c r="G42" s="23"/>
      <c r="H42" s="10">
        <f t="shared" ca="1" si="6"/>
        <v>0</v>
      </c>
      <c r="I42" s="3" t="s">
        <v>19</v>
      </c>
      <c r="J42" s="11">
        <v>502</v>
      </c>
      <c r="K42" s="12" t="s">
        <v>94</v>
      </c>
      <c r="L42" s="12" t="s">
        <v>31</v>
      </c>
      <c r="M42" s="12" t="s">
        <v>32</v>
      </c>
      <c r="N42" s="21" t="s">
        <v>74</v>
      </c>
      <c r="O42" s="4" t="s">
        <v>219</v>
      </c>
      <c r="P42" s="3" t="s">
        <v>219</v>
      </c>
      <c r="Q42" s="4" t="s">
        <v>219</v>
      </c>
      <c r="R42" s="3" t="s">
        <v>219</v>
      </c>
      <c r="S42" s="3" t="s">
        <v>219</v>
      </c>
      <c r="T42" s="12" t="s">
        <v>35</v>
      </c>
      <c r="U42" s="4" t="s">
        <v>218</v>
      </c>
      <c r="V42" s="3" t="s">
        <v>96</v>
      </c>
      <c r="W42" s="4" t="s">
        <v>219</v>
      </c>
      <c r="X42" s="3" t="s">
        <v>219</v>
      </c>
      <c r="Y42" s="3" t="s">
        <v>219</v>
      </c>
      <c r="Z42" s="11">
        <v>0</v>
      </c>
      <c r="AA42" s="11">
        <f t="shared" si="7"/>
        <v>502</v>
      </c>
      <c r="AB42" s="24"/>
    </row>
    <row r="43" spans="1:28" x14ac:dyDescent="0.3">
      <c r="A43" s="10">
        <f t="shared" si="4"/>
        <v>46118</v>
      </c>
      <c r="B43" s="21" t="s">
        <v>159</v>
      </c>
      <c r="C43" s="22">
        <v>1157700</v>
      </c>
      <c r="D43" s="21" t="s">
        <v>6</v>
      </c>
      <c r="E43" s="23">
        <v>46118</v>
      </c>
      <c r="F43" s="10">
        <f t="shared" ca="1" si="5"/>
        <v>1</v>
      </c>
      <c r="G43" s="23"/>
      <c r="H43" s="10">
        <f t="shared" ca="1" si="6"/>
        <v>0</v>
      </c>
      <c r="I43" s="3"/>
      <c r="J43" s="11"/>
      <c r="K43" s="12" t="s">
        <v>94</v>
      </c>
      <c r="L43" s="12" t="s">
        <v>98</v>
      </c>
      <c r="M43" s="12" t="s">
        <v>175</v>
      </c>
      <c r="N43" s="21"/>
      <c r="O43" s="4" t="s">
        <v>219</v>
      </c>
      <c r="P43" s="3" t="s">
        <v>219</v>
      </c>
      <c r="Q43" s="4" t="s">
        <v>219</v>
      </c>
      <c r="R43" s="3" t="s">
        <v>219</v>
      </c>
      <c r="S43" s="3" t="s">
        <v>219</v>
      </c>
      <c r="T43" s="12" t="s">
        <v>101</v>
      </c>
      <c r="U43" s="4" t="s">
        <v>219</v>
      </c>
      <c r="V43" s="3" t="s">
        <v>219</v>
      </c>
      <c r="W43" s="3" t="s">
        <v>219</v>
      </c>
      <c r="X43" s="3" t="s">
        <v>219</v>
      </c>
      <c r="Y43" s="3" t="s">
        <v>219</v>
      </c>
      <c r="Z43" s="11">
        <v>0</v>
      </c>
      <c r="AA43" s="11">
        <f t="shared" si="7"/>
        <v>0</v>
      </c>
      <c r="AB43" s="24" t="s">
        <v>187</v>
      </c>
    </row>
    <row r="44" spans="1:28" x14ac:dyDescent="0.3">
      <c r="A44" s="10">
        <f t="shared" si="4"/>
        <v>46118</v>
      </c>
      <c r="B44" s="21" t="s">
        <v>89</v>
      </c>
      <c r="C44" s="22">
        <v>1157900</v>
      </c>
      <c r="D44" s="21" t="s">
        <v>44</v>
      </c>
      <c r="E44" s="23">
        <v>46118</v>
      </c>
      <c r="F44" s="10">
        <f t="shared" ca="1" si="5"/>
        <v>1</v>
      </c>
      <c r="G44" s="23"/>
      <c r="H44" s="10">
        <f t="shared" ca="1" si="6"/>
        <v>0</v>
      </c>
      <c r="I44" s="3"/>
      <c r="J44" s="11"/>
      <c r="K44" s="12" t="s">
        <v>94</v>
      </c>
      <c r="L44" s="12" t="s">
        <v>31</v>
      </c>
      <c r="M44" s="12" t="s">
        <v>63</v>
      </c>
      <c r="N44" s="21"/>
      <c r="O44" s="4" t="s">
        <v>219</v>
      </c>
      <c r="P44" s="3" t="s">
        <v>219</v>
      </c>
      <c r="Q44" s="4" t="s">
        <v>219</v>
      </c>
      <c r="R44" s="3" t="s">
        <v>219</v>
      </c>
      <c r="S44" s="3" t="s">
        <v>219</v>
      </c>
      <c r="T44" s="12" t="s">
        <v>101</v>
      </c>
      <c r="U44" s="4" t="s">
        <v>219</v>
      </c>
      <c r="V44" s="3" t="s">
        <v>219</v>
      </c>
      <c r="W44" s="3" t="s">
        <v>219</v>
      </c>
      <c r="X44" s="3" t="s">
        <v>219</v>
      </c>
      <c r="Y44" s="3" t="s">
        <v>219</v>
      </c>
      <c r="Z44" s="11">
        <v>0</v>
      </c>
      <c r="AA44" s="11">
        <f t="shared" si="7"/>
        <v>0</v>
      </c>
      <c r="AB44" s="24"/>
    </row>
    <row r="45" spans="1:28" x14ac:dyDescent="0.3">
      <c r="A45" s="10">
        <f t="shared" si="4"/>
        <v>46118</v>
      </c>
      <c r="B45" s="21" t="s">
        <v>154</v>
      </c>
      <c r="C45" s="22">
        <v>1158074</v>
      </c>
      <c r="D45" s="21" t="s">
        <v>44</v>
      </c>
      <c r="E45" s="23">
        <v>46118</v>
      </c>
      <c r="F45" s="10">
        <f t="shared" ca="1" si="5"/>
        <v>1</v>
      </c>
      <c r="G45" s="23"/>
      <c r="H45" s="10">
        <f t="shared" ca="1" si="6"/>
        <v>0</v>
      </c>
      <c r="I45" s="3"/>
      <c r="J45" s="11"/>
      <c r="K45" s="12" t="s">
        <v>94</v>
      </c>
      <c r="L45" s="12" t="s">
        <v>31</v>
      </c>
      <c r="M45" s="12" t="s">
        <v>175</v>
      </c>
      <c r="N45" s="21"/>
      <c r="O45" s="4" t="s">
        <v>219</v>
      </c>
      <c r="P45" s="3" t="s">
        <v>219</v>
      </c>
      <c r="Q45" s="4" t="s">
        <v>219</v>
      </c>
      <c r="R45" s="3" t="s">
        <v>219</v>
      </c>
      <c r="S45" s="3" t="s">
        <v>219</v>
      </c>
      <c r="T45" s="12" t="s">
        <v>101</v>
      </c>
      <c r="U45" s="4" t="s">
        <v>219</v>
      </c>
      <c r="V45" s="3" t="s">
        <v>219</v>
      </c>
      <c r="W45" s="3" t="s">
        <v>219</v>
      </c>
      <c r="X45" s="3" t="s">
        <v>219</v>
      </c>
      <c r="Y45" s="3" t="s">
        <v>219</v>
      </c>
      <c r="Z45" s="11">
        <v>0</v>
      </c>
      <c r="AA45" s="11">
        <f t="shared" si="7"/>
        <v>0</v>
      </c>
      <c r="AB45" s="24" t="s">
        <v>188</v>
      </c>
    </row>
    <row r="46" spans="1:28" x14ac:dyDescent="0.3">
      <c r="A46" s="10">
        <f t="shared" si="4"/>
        <v>46118</v>
      </c>
      <c r="B46" s="21" t="s">
        <v>116</v>
      </c>
      <c r="C46" s="22">
        <v>1159213</v>
      </c>
      <c r="D46" s="21" t="s">
        <v>10</v>
      </c>
      <c r="E46" s="23">
        <v>46118</v>
      </c>
      <c r="F46" s="10">
        <f t="shared" ca="1" si="5"/>
        <v>1</v>
      </c>
      <c r="G46" s="23"/>
      <c r="H46" s="10">
        <f t="shared" ca="1" si="6"/>
        <v>0</v>
      </c>
      <c r="I46" s="3" t="s">
        <v>20</v>
      </c>
      <c r="J46" s="11">
        <v>404</v>
      </c>
      <c r="K46" s="12" t="s">
        <v>94</v>
      </c>
      <c r="L46" s="12" t="s">
        <v>31</v>
      </c>
      <c r="M46" s="12" t="s">
        <v>32</v>
      </c>
      <c r="N46" s="21" t="s">
        <v>74</v>
      </c>
      <c r="O46" s="4" t="s">
        <v>219</v>
      </c>
      <c r="P46" s="3" t="s">
        <v>219</v>
      </c>
      <c r="Q46" s="4" t="s">
        <v>219</v>
      </c>
      <c r="R46" s="3" t="s">
        <v>219</v>
      </c>
      <c r="S46" s="3" t="s">
        <v>219</v>
      </c>
      <c r="T46" s="12" t="s">
        <v>35</v>
      </c>
      <c r="U46" s="4" t="s">
        <v>219</v>
      </c>
      <c r="V46" s="3" t="s">
        <v>219</v>
      </c>
      <c r="W46" s="3" t="s">
        <v>219</v>
      </c>
      <c r="X46" s="3" t="s">
        <v>219</v>
      </c>
      <c r="Y46" s="3" t="s">
        <v>219</v>
      </c>
      <c r="Z46" s="11">
        <v>0</v>
      </c>
      <c r="AA46" s="11">
        <f t="shared" si="7"/>
        <v>404</v>
      </c>
      <c r="AB46" s="24"/>
    </row>
    <row r="47" spans="1:28" x14ac:dyDescent="0.3">
      <c r="A47" s="10">
        <f t="shared" si="4"/>
        <v>46118</v>
      </c>
      <c r="B47" s="21" t="s">
        <v>83</v>
      </c>
      <c r="C47" s="22">
        <v>1160898</v>
      </c>
      <c r="D47" s="21" t="s">
        <v>11</v>
      </c>
      <c r="E47" s="23">
        <v>46118</v>
      </c>
      <c r="F47" s="10">
        <f t="shared" ca="1" si="5"/>
        <v>1</v>
      </c>
      <c r="G47" s="23"/>
      <c r="H47" s="10">
        <f t="shared" ca="1" si="6"/>
        <v>0</v>
      </c>
      <c r="I47" s="3" t="s">
        <v>82</v>
      </c>
      <c r="J47" s="11">
        <v>404</v>
      </c>
      <c r="K47" s="12" t="s">
        <v>94</v>
      </c>
      <c r="L47" s="12" t="s">
        <v>31</v>
      </c>
      <c r="M47" s="12" t="s">
        <v>32</v>
      </c>
      <c r="N47" s="21" t="s">
        <v>74</v>
      </c>
      <c r="O47" s="4" t="s">
        <v>219</v>
      </c>
      <c r="P47" s="3" t="s">
        <v>219</v>
      </c>
      <c r="Q47" s="4" t="s">
        <v>219</v>
      </c>
      <c r="R47" s="3" t="s">
        <v>219</v>
      </c>
      <c r="S47" s="3" t="s">
        <v>219</v>
      </c>
      <c r="T47" s="12" t="s">
        <v>35</v>
      </c>
      <c r="U47" s="4" t="s">
        <v>219</v>
      </c>
      <c r="V47" s="3" t="s">
        <v>219</v>
      </c>
      <c r="W47" s="3" t="s">
        <v>219</v>
      </c>
      <c r="X47" s="3" t="s">
        <v>219</v>
      </c>
      <c r="Y47" s="3" t="s">
        <v>219</v>
      </c>
      <c r="Z47" s="11">
        <v>0</v>
      </c>
      <c r="AA47" s="11">
        <f t="shared" si="7"/>
        <v>404</v>
      </c>
      <c r="AB47" s="24"/>
    </row>
    <row r="48" spans="1:28" x14ac:dyDescent="0.3">
      <c r="A48" s="10">
        <f t="shared" si="4"/>
        <v>46119</v>
      </c>
      <c r="B48" s="21" t="s">
        <v>66</v>
      </c>
      <c r="C48" s="22">
        <v>1142115</v>
      </c>
      <c r="D48" s="21" t="s">
        <v>108</v>
      </c>
      <c r="E48" s="23">
        <v>46119</v>
      </c>
      <c r="F48" s="10">
        <f t="shared" ca="1" si="5"/>
        <v>1</v>
      </c>
      <c r="G48" s="23"/>
      <c r="H48" s="10">
        <f t="shared" ca="1" si="6"/>
        <v>0</v>
      </c>
      <c r="I48" s="3" t="s">
        <v>18</v>
      </c>
      <c r="J48" s="11">
        <v>498</v>
      </c>
      <c r="K48" s="12" t="s">
        <v>94</v>
      </c>
      <c r="L48" s="12" t="s">
        <v>31</v>
      </c>
      <c r="M48" s="12" t="s">
        <v>32</v>
      </c>
      <c r="N48" s="21" t="s">
        <v>74</v>
      </c>
      <c r="O48" s="4" t="s">
        <v>219</v>
      </c>
      <c r="P48" s="3" t="s">
        <v>219</v>
      </c>
      <c r="Q48" s="4" t="s">
        <v>219</v>
      </c>
      <c r="R48" s="3" t="s">
        <v>219</v>
      </c>
      <c r="S48" s="3" t="s">
        <v>219</v>
      </c>
      <c r="T48" s="12" t="s">
        <v>35</v>
      </c>
      <c r="U48" s="4" t="s">
        <v>219</v>
      </c>
      <c r="V48" s="3" t="s">
        <v>219</v>
      </c>
      <c r="W48" s="3" t="s">
        <v>219</v>
      </c>
      <c r="X48" s="3" t="s">
        <v>219</v>
      </c>
      <c r="Y48" s="3" t="s">
        <v>219</v>
      </c>
      <c r="Z48" s="11">
        <v>0</v>
      </c>
      <c r="AA48" s="11">
        <f t="shared" si="7"/>
        <v>498</v>
      </c>
      <c r="AB48" s="24"/>
    </row>
    <row r="49" spans="1:28" x14ac:dyDescent="0.3">
      <c r="A49" s="10">
        <f t="shared" si="4"/>
        <v>46119</v>
      </c>
      <c r="B49" s="21" t="s">
        <v>111</v>
      </c>
      <c r="C49" s="22">
        <v>1152537</v>
      </c>
      <c r="D49" s="21" t="s">
        <v>57</v>
      </c>
      <c r="E49" s="23">
        <v>46119</v>
      </c>
      <c r="F49" s="10">
        <f t="shared" ca="1" si="5"/>
        <v>1</v>
      </c>
      <c r="G49" s="23"/>
      <c r="H49" s="10">
        <f t="shared" ca="1" si="6"/>
        <v>0</v>
      </c>
      <c r="I49" s="3"/>
      <c r="J49" s="11"/>
      <c r="K49" s="12" t="s">
        <v>94</v>
      </c>
      <c r="L49" s="12" t="s">
        <v>31</v>
      </c>
      <c r="M49" s="12" t="s">
        <v>63</v>
      </c>
      <c r="N49" s="21"/>
      <c r="O49" s="4" t="s">
        <v>219</v>
      </c>
      <c r="P49" s="3" t="s">
        <v>219</v>
      </c>
      <c r="Q49" s="4" t="s">
        <v>219</v>
      </c>
      <c r="R49" s="3" t="s">
        <v>219</v>
      </c>
      <c r="S49" s="3" t="s">
        <v>219</v>
      </c>
      <c r="T49" s="12" t="s">
        <v>101</v>
      </c>
      <c r="U49" s="4" t="s">
        <v>219</v>
      </c>
      <c r="V49" s="3" t="s">
        <v>219</v>
      </c>
      <c r="W49" s="3" t="s">
        <v>219</v>
      </c>
      <c r="X49" s="3" t="s">
        <v>219</v>
      </c>
      <c r="Y49" s="3" t="s">
        <v>219</v>
      </c>
      <c r="Z49" s="11">
        <v>0</v>
      </c>
      <c r="AA49" s="11">
        <f t="shared" si="7"/>
        <v>0</v>
      </c>
      <c r="AB49" s="24"/>
    </row>
    <row r="50" spans="1:28" x14ac:dyDescent="0.3">
      <c r="A50" s="10">
        <f t="shared" si="4"/>
        <v>46119</v>
      </c>
      <c r="B50" s="21" t="s">
        <v>149</v>
      </c>
      <c r="C50" s="22">
        <v>1158305</v>
      </c>
      <c r="D50" s="21" t="s">
        <v>9</v>
      </c>
      <c r="E50" s="23">
        <v>46119</v>
      </c>
      <c r="F50" s="10">
        <f t="shared" ca="1" si="5"/>
        <v>1</v>
      </c>
      <c r="G50" s="23"/>
      <c r="H50" s="10">
        <f t="shared" ca="1" si="6"/>
        <v>0</v>
      </c>
      <c r="I50" s="3" t="s">
        <v>92</v>
      </c>
      <c r="J50" s="11">
        <v>294</v>
      </c>
      <c r="K50" s="12" t="s">
        <v>94</v>
      </c>
      <c r="L50" s="12" t="s">
        <v>31</v>
      </c>
      <c r="M50" s="12" t="s">
        <v>32</v>
      </c>
      <c r="N50" s="21" t="s">
        <v>74</v>
      </c>
      <c r="O50" s="4" t="s">
        <v>219</v>
      </c>
      <c r="P50" s="3" t="s">
        <v>219</v>
      </c>
      <c r="Q50" s="4" t="s">
        <v>219</v>
      </c>
      <c r="R50" s="3" t="s">
        <v>219</v>
      </c>
      <c r="S50" s="3" t="s">
        <v>219</v>
      </c>
      <c r="T50" s="12" t="s">
        <v>35</v>
      </c>
      <c r="U50" s="4" t="s">
        <v>219</v>
      </c>
      <c r="V50" s="3" t="s">
        <v>219</v>
      </c>
      <c r="W50" s="3" t="s">
        <v>219</v>
      </c>
      <c r="X50" s="3" t="s">
        <v>219</v>
      </c>
      <c r="Y50" s="3" t="s">
        <v>219</v>
      </c>
      <c r="Z50" s="11">
        <v>0</v>
      </c>
      <c r="AA50" s="11">
        <f t="shared" si="7"/>
        <v>294</v>
      </c>
      <c r="AB50" s="24"/>
    </row>
    <row r="51" spans="1:28" x14ac:dyDescent="0.3">
      <c r="A51" s="10">
        <f t="shared" si="4"/>
        <v>46119</v>
      </c>
      <c r="B51" s="21" t="s">
        <v>158</v>
      </c>
      <c r="C51" s="22">
        <v>1158314</v>
      </c>
      <c r="D51" s="21" t="s">
        <v>10</v>
      </c>
      <c r="E51" s="23">
        <v>46119</v>
      </c>
      <c r="F51" s="10">
        <f t="shared" ca="1" si="5"/>
        <v>1</v>
      </c>
      <c r="G51" s="23"/>
      <c r="H51" s="10">
        <f t="shared" ca="1" si="6"/>
        <v>0</v>
      </c>
      <c r="I51" s="3" t="s">
        <v>92</v>
      </c>
      <c r="J51" s="11">
        <v>495</v>
      </c>
      <c r="K51" s="12" t="s">
        <v>94</v>
      </c>
      <c r="L51" s="12" t="s">
        <v>31</v>
      </c>
      <c r="M51" s="12" t="s">
        <v>32</v>
      </c>
      <c r="N51" s="21" t="s">
        <v>74</v>
      </c>
      <c r="O51" s="4" t="s">
        <v>219</v>
      </c>
      <c r="P51" s="3" t="s">
        <v>219</v>
      </c>
      <c r="Q51" s="4" t="s">
        <v>219</v>
      </c>
      <c r="R51" s="3" t="s">
        <v>219</v>
      </c>
      <c r="S51" s="3" t="s">
        <v>219</v>
      </c>
      <c r="T51" s="12" t="s">
        <v>35</v>
      </c>
      <c r="U51" s="4" t="s">
        <v>219</v>
      </c>
      <c r="V51" s="3" t="s">
        <v>219</v>
      </c>
      <c r="W51" s="3" t="s">
        <v>219</v>
      </c>
      <c r="X51" s="3" t="s">
        <v>219</v>
      </c>
      <c r="Y51" s="3" t="s">
        <v>219</v>
      </c>
      <c r="Z51" s="11">
        <v>0</v>
      </c>
      <c r="AA51" s="11">
        <f t="shared" si="7"/>
        <v>495</v>
      </c>
      <c r="AB51" s="24"/>
    </row>
    <row r="52" spans="1:28" x14ac:dyDescent="0.3">
      <c r="A52" s="10">
        <f t="shared" si="4"/>
        <v>46119</v>
      </c>
      <c r="B52" s="21" t="s">
        <v>142</v>
      </c>
      <c r="C52" s="22">
        <v>1159583</v>
      </c>
      <c r="D52" s="21" t="s">
        <v>10</v>
      </c>
      <c r="E52" s="23">
        <v>46119</v>
      </c>
      <c r="F52" s="10">
        <f t="shared" ca="1" si="5"/>
        <v>1</v>
      </c>
      <c r="G52" s="23"/>
      <c r="H52" s="10">
        <f t="shared" ca="1" si="6"/>
        <v>0</v>
      </c>
      <c r="I52" s="3"/>
      <c r="J52" s="11"/>
      <c r="K52" s="12" t="s">
        <v>94</v>
      </c>
      <c r="L52" s="12" t="s">
        <v>31</v>
      </c>
      <c r="M52" s="12" t="s">
        <v>63</v>
      </c>
      <c r="N52" s="21"/>
      <c r="O52" s="4" t="s">
        <v>219</v>
      </c>
      <c r="P52" s="3" t="s">
        <v>219</v>
      </c>
      <c r="Q52" s="4" t="s">
        <v>219</v>
      </c>
      <c r="R52" s="3" t="s">
        <v>219</v>
      </c>
      <c r="S52" s="3" t="s">
        <v>219</v>
      </c>
      <c r="T52" s="12" t="s">
        <v>101</v>
      </c>
      <c r="U52" s="4" t="s">
        <v>219</v>
      </c>
      <c r="V52" s="3" t="s">
        <v>219</v>
      </c>
      <c r="W52" s="3" t="s">
        <v>219</v>
      </c>
      <c r="X52" s="3" t="s">
        <v>219</v>
      </c>
      <c r="Y52" s="3" t="s">
        <v>219</v>
      </c>
      <c r="Z52" s="11">
        <v>0</v>
      </c>
      <c r="AA52" s="11">
        <f t="shared" si="7"/>
        <v>0</v>
      </c>
      <c r="AB52" s="24"/>
    </row>
    <row r="53" spans="1:28" x14ac:dyDescent="0.3">
      <c r="A53" s="10">
        <f t="shared" si="4"/>
        <v>46120</v>
      </c>
      <c r="B53" s="21" t="s">
        <v>34</v>
      </c>
      <c r="C53" s="22">
        <v>1152707</v>
      </c>
      <c r="D53" s="21" t="s">
        <v>57</v>
      </c>
      <c r="E53" s="23">
        <v>46120</v>
      </c>
      <c r="F53" s="10">
        <f t="shared" ca="1" si="5"/>
        <v>1</v>
      </c>
      <c r="G53" s="23"/>
      <c r="H53" s="10">
        <f t="shared" ca="1" si="6"/>
        <v>0</v>
      </c>
      <c r="I53" s="3"/>
      <c r="J53" s="11"/>
      <c r="K53" s="12" t="s">
        <v>94</v>
      </c>
      <c r="L53" s="12" t="s">
        <v>31</v>
      </c>
      <c r="M53" s="12" t="s">
        <v>63</v>
      </c>
      <c r="N53" s="21"/>
      <c r="O53" s="4" t="s">
        <v>219</v>
      </c>
      <c r="P53" s="3" t="s">
        <v>219</v>
      </c>
      <c r="Q53" s="4" t="s">
        <v>219</v>
      </c>
      <c r="R53" s="3" t="s">
        <v>219</v>
      </c>
      <c r="S53" s="3" t="s">
        <v>219</v>
      </c>
      <c r="T53" s="12" t="s">
        <v>101</v>
      </c>
      <c r="U53" s="4" t="s">
        <v>219</v>
      </c>
      <c r="V53" s="3" t="s">
        <v>219</v>
      </c>
      <c r="W53" s="3" t="s">
        <v>219</v>
      </c>
      <c r="X53" s="3" t="s">
        <v>219</v>
      </c>
      <c r="Y53" s="3" t="s">
        <v>219</v>
      </c>
      <c r="Z53" s="11">
        <v>0</v>
      </c>
      <c r="AA53" s="11">
        <f t="shared" si="7"/>
        <v>0</v>
      </c>
      <c r="AB53" s="24" t="s">
        <v>191</v>
      </c>
    </row>
    <row r="54" spans="1:28" x14ac:dyDescent="0.3">
      <c r="A54" s="10">
        <f t="shared" si="4"/>
        <v>46120</v>
      </c>
      <c r="B54" s="21" t="s">
        <v>70</v>
      </c>
      <c r="C54" s="22">
        <v>1161450</v>
      </c>
      <c r="D54" s="21" t="s">
        <v>13</v>
      </c>
      <c r="E54" s="23">
        <v>46120</v>
      </c>
      <c r="F54" s="10">
        <f t="shared" ca="1" si="5"/>
        <v>1</v>
      </c>
      <c r="G54" s="23"/>
      <c r="H54" s="10">
        <f t="shared" ca="1" si="6"/>
        <v>0</v>
      </c>
      <c r="I54" s="3"/>
      <c r="J54" s="11"/>
      <c r="K54" s="12" t="s">
        <v>94</v>
      </c>
      <c r="L54" s="12" t="s">
        <v>98</v>
      </c>
      <c r="M54" s="12"/>
      <c r="N54" s="21"/>
      <c r="O54" s="4" t="s">
        <v>219</v>
      </c>
      <c r="P54" s="3" t="s">
        <v>219</v>
      </c>
      <c r="Q54" s="4" t="s">
        <v>219</v>
      </c>
      <c r="R54" s="3" t="s">
        <v>219</v>
      </c>
      <c r="S54" s="3" t="s">
        <v>219</v>
      </c>
      <c r="T54" s="12" t="s">
        <v>101</v>
      </c>
      <c r="U54" s="4" t="s">
        <v>219</v>
      </c>
      <c r="V54" s="3" t="s">
        <v>219</v>
      </c>
      <c r="W54" s="3" t="s">
        <v>219</v>
      </c>
      <c r="X54" s="3" t="s">
        <v>219</v>
      </c>
      <c r="Y54" s="3" t="s">
        <v>219</v>
      </c>
      <c r="Z54" s="11">
        <v>0</v>
      </c>
      <c r="AA54" s="11">
        <f t="shared" si="7"/>
        <v>0</v>
      </c>
      <c r="AB54" s="24"/>
    </row>
    <row r="55" spans="1:28" x14ac:dyDescent="0.3">
      <c r="A55" s="10">
        <f t="shared" si="4"/>
        <v>46120</v>
      </c>
      <c r="B55" s="21" t="s">
        <v>123</v>
      </c>
      <c r="C55" s="22">
        <v>1161453</v>
      </c>
      <c r="D55" s="21" t="s">
        <v>39</v>
      </c>
      <c r="E55" s="23">
        <v>46120</v>
      </c>
      <c r="F55" s="10">
        <f t="shared" ca="1" si="5"/>
        <v>1</v>
      </c>
      <c r="G55" s="23"/>
      <c r="H55" s="10">
        <f t="shared" ca="1" si="6"/>
        <v>0</v>
      </c>
      <c r="I55" s="3"/>
      <c r="J55" s="11"/>
      <c r="K55" s="12" t="s">
        <v>94</v>
      </c>
      <c r="L55" s="12" t="s">
        <v>31</v>
      </c>
      <c r="M55" s="12"/>
      <c r="N55" s="21"/>
      <c r="O55" s="4" t="s">
        <v>219</v>
      </c>
      <c r="P55" s="3" t="s">
        <v>219</v>
      </c>
      <c r="Q55" s="4" t="s">
        <v>219</v>
      </c>
      <c r="R55" s="3" t="s">
        <v>219</v>
      </c>
      <c r="S55" s="3" t="s">
        <v>219</v>
      </c>
      <c r="T55" s="12" t="s">
        <v>101</v>
      </c>
      <c r="U55" s="4" t="s">
        <v>219</v>
      </c>
      <c r="V55" s="3" t="s">
        <v>219</v>
      </c>
      <c r="W55" s="3" t="s">
        <v>219</v>
      </c>
      <c r="X55" s="3" t="s">
        <v>219</v>
      </c>
      <c r="Y55" s="3" t="s">
        <v>219</v>
      </c>
      <c r="Z55" s="11">
        <v>0</v>
      </c>
      <c r="AA55" s="11">
        <f t="shared" si="7"/>
        <v>0</v>
      </c>
      <c r="AB55" s="24"/>
    </row>
    <row r="56" spans="1:28" x14ac:dyDescent="0.3">
      <c r="A56" s="10">
        <f t="shared" si="4"/>
        <v>46120</v>
      </c>
      <c r="B56" s="21" t="s">
        <v>121</v>
      </c>
      <c r="C56" s="22">
        <v>1161455</v>
      </c>
      <c r="D56" s="21" t="s">
        <v>6</v>
      </c>
      <c r="E56" s="23">
        <v>46120</v>
      </c>
      <c r="F56" s="10">
        <f t="shared" ca="1" si="5"/>
        <v>1</v>
      </c>
      <c r="G56" s="23"/>
      <c r="H56" s="10">
        <f t="shared" ca="1" si="6"/>
        <v>0</v>
      </c>
      <c r="I56" s="3"/>
      <c r="J56" s="11"/>
      <c r="K56" s="12" t="s">
        <v>94</v>
      </c>
      <c r="L56" s="12" t="s">
        <v>98</v>
      </c>
      <c r="M56" s="12"/>
      <c r="N56" s="21"/>
      <c r="O56" s="4" t="s">
        <v>219</v>
      </c>
      <c r="P56" s="3" t="s">
        <v>219</v>
      </c>
      <c r="Q56" s="4" t="s">
        <v>219</v>
      </c>
      <c r="R56" s="3" t="s">
        <v>219</v>
      </c>
      <c r="S56" s="3" t="s">
        <v>219</v>
      </c>
      <c r="T56" s="12" t="s">
        <v>101</v>
      </c>
      <c r="U56" s="4" t="s">
        <v>219</v>
      </c>
      <c r="V56" s="3" t="s">
        <v>219</v>
      </c>
      <c r="W56" s="3" t="s">
        <v>219</v>
      </c>
      <c r="X56" s="3" t="s">
        <v>219</v>
      </c>
      <c r="Y56" s="3" t="s">
        <v>219</v>
      </c>
      <c r="Z56" s="11">
        <v>0</v>
      </c>
      <c r="AA56" s="11">
        <f t="shared" si="7"/>
        <v>0</v>
      </c>
      <c r="AB56" s="24"/>
    </row>
    <row r="57" spans="1:28" s="29" customFormat="1" x14ac:dyDescent="0.3">
      <c r="A57" s="8">
        <f t="shared" si="4"/>
        <v>46121</v>
      </c>
      <c r="B57" s="25" t="s">
        <v>146</v>
      </c>
      <c r="C57" s="26">
        <v>1159544</v>
      </c>
      <c r="D57" s="25" t="s">
        <v>11</v>
      </c>
      <c r="E57" s="27">
        <v>46121</v>
      </c>
      <c r="F57" s="8">
        <f t="shared" ca="1" si="5"/>
        <v>1</v>
      </c>
      <c r="G57" s="27"/>
      <c r="H57" s="8">
        <f t="shared" ca="1" si="6"/>
        <v>0</v>
      </c>
      <c r="I57" s="5" t="s">
        <v>82</v>
      </c>
      <c r="J57" s="9">
        <v>402</v>
      </c>
      <c r="K57" s="25" t="s">
        <v>94</v>
      </c>
      <c r="L57" s="25" t="s">
        <v>31</v>
      </c>
      <c r="M57" s="25" t="s">
        <v>32</v>
      </c>
      <c r="N57" s="25" t="s">
        <v>26</v>
      </c>
      <c r="O57" s="6"/>
      <c r="P57" s="5"/>
      <c r="Q57" s="6"/>
      <c r="R57" s="5"/>
      <c r="S57" s="5"/>
      <c r="T57" s="25" t="s">
        <v>35</v>
      </c>
      <c r="U57" s="6"/>
      <c r="V57" s="5"/>
      <c r="W57" s="6"/>
      <c r="X57" s="5"/>
      <c r="Y57" s="5"/>
      <c r="Z57" s="9">
        <v>401</v>
      </c>
      <c r="AA57" s="9">
        <f t="shared" si="7"/>
        <v>1</v>
      </c>
      <c r="AB57" s="28"/>
    </row>
    <row r="58" spans="1:28" x14ac:dyDescent="0.3">
      <c r="A58" s="10">
        <f t="shared" si="4"/>
        <v>46121</v>
      </c>
      <c r="B58" s="21" t="s">
        <v>155</v>
      </c>
      <c r="C58" s="22">
        <v>1166094</v>
      </c>
      <c r="D58" s="21" t="s">
        <v>5</v>
      </c>
      <c r="E58" s="23">
        <v>46121</v>
      </c>
      <c r="F58" s="10">
        <f t="shared" ca="1" si="5"/>
        <v>1</v>
      </c>
      <c r="G58" s="23"/>
      <c r="H58" s="10">
        <f t="shared" ca="1" si="6"/>
        <v>0</v>
      </c>
      <c r="I58" s="3"/>
      <c r="J58" s="11">
        <v>397</v>
      </c>
      <c r="K58" s="12" t="s">
        <v>94</v>
      </c>
      <c r="L58" s="12" t="s">
        <v>31</v>
      </c>
      <c r="M58" s="12" t="s">
        <v>32</v>
      </c>
      <c r="N58" s="21" t="s">
        <v>87</v>
      </c>
      <c r="O58" s="4" t="s">
        <v>219</v>
      </c>
      <c r="P58" s="3" t="s">
        <v>219</v>
      </c>
      <c r="Q58" s="4" t="s">
        <v>219</v>
      </c>
      <c r="R58" s="3" t="s">
        <v>219</v>
      </c>
      <c r="S58" s="3" t="s">
        <v>219</v>
      </c>
      <c r="T58" s="12" t="s">
        <v>101</v>
      </c>
      <c r="U58" s="4" t="s">
        <v>219</v>
      </c>
      <c r="V58" s="3" t="s">
        <v>219</v>
      </c>
      <c r="W58" s="3" t="s">
        <v>219</v>
      </c>
      <c r="X58" s="3" t="s">
        <v>219</v>
      </c>
      <c r="Y58" s="3" t="s">
        <v>219</v>
      </c>
      <c r="Z58" s="11">
        <v>0</v>
      </c>
      <c r="AA58" s="11">
        <f t="shared" si="7"/>
        <v>397</v>
      </c>
      <c r="AB58" s="24"/>
    </row>
    <row r="59" spans="1:28" x14ac:dyDescent="0.3">
      <c r="A59" s="10">
        <f t="shared" si="4"/>
        <v>46122</v>
      </c>
      <c r="B59" s="21" t="s">
        <v>130</v>
      </c>
      <c r="C59" s="22">
        <v>1141279</v>
      </c>
      <c r="D59" s="21" t="s">
        <v>6</v>
      </c>
      <c r="E59" s="23">
        <v>46122</v>
      </c>
      <c r="F59" s="10">
        <f t="shared" ca="1" si="5"/>
        <v>1</v>
      </c>
      <c r="G59" s="23"/>
      <c r="H59" s="10">
        <f t="shared" ca="1" si="6"/>
        <v>0</v>
      </c>
      <c r="I59" s="3"/>
      <c r="J59" s="11"/>
      <c r="K59" s="12" t="s">
        <v>94</v>
      </c>
      <c r="L59" s="12" t="s">
        <v>98</v>
      </c>
      <c r="M59" s="12"/>
      <c r="N59" s="21"/>
      <c r="O59" s="4" t="s">
        <v>219</v>
      </c>
      <c r="P59" s="3" t="s">
        <v>219</v>
      </c>
      <c r="Q59" s="4" t="s">
        <v>219</v>
      </c>
      <c r="R59" s="3" t="s">
        <v>219</v>
      </c>
      <c r="S59" s="3" t="s">
        <v>219</v>
      </c>
      <c r="T59" s="12" t="s">
        <v>101</v>
      </c>
      <c r="U59" s="4" t="s">
        <v>219</v>
      </c>
      <c r="V59" s="3" t="s">
        <v>219</v>
      </c>
      <c r="W59" s="3" t="s">
        <v>219</v>
      </c>
      <c r="X59" s="3" t="s">
        <v>219</v>
      </c>
      <c r="Y59" s="3" t="s">
        <v>219</v>
      </c>
      <c r="Z59" s="11">
        <v>0</v>
      </c>
      <c r="AA59" s="11">
        <f t="shared" si="7"/>
        <v>0</v>
      </c>
      <c r="AB59" s="24"/>
    </row>
    <row r="60" spans="1:28" x14ac:dyDescent="0.3">
      <c r="A60" s="10">
        <f t="shared" si="4"/>
        <v>46122</v>
      </c>
      <c r="B60" s="21" t="s">
        <v>130</v>
      </c>
      <c r="C60" s="22">
        <v>1141284</v>
      </c>
      <c r="D60" s="21" t="s">
        <v>45</v>
      </c>
      <c r="E60" s="23">
        <v>46122</v>
      </c>
      <c r="F60" s="10">
        <f t="shared" ca="1" si="5"/>
        <v>1</v>
      </c>
      <c r="G60" s="23"/>
      <c r="H60" s="10">
        <f t="shared" ca="1" si="6"/>
        <v>0</v>
      </c>
      <c r="I60" s="3"/>
      <c r="J60" s="11"/>
      <c r="K60" s="12" t="s">
        <v>94</v>
      </c>
      <c r="L60" s="12" t="s">
        <v>98</v>
      </c>
      <c r="M60" s="12"/>
      <c r="N60" s="21"/>
      <c r="O60" s="4" t="s">
        <v>219</v>
      </c>
      <c r="P60" s="3" t="s">
        <v>219</v>
      </c>
      <c r="Q60" s="4" t="s">
        <v>219</v>
      </c>
      <c r="R60" s="3" t="s">
        <v>219</v>
      </c>
      <c r="S60" s="3" t="s">
        <v>219</v>
      </c>
      <c r="T60" s="12" t="s">
        <v>101</v>
      </c>
      <c r="U60" s="4" t="s">
        <v>219</v>
      </c>
      <c r="V60" s="3" t="s">
        <v>219</v>
      </c>
      <c r="W60" s="3" t="s">
        <v>219</v>
      </c>
      <c r="X60" s="3" t="s">
        <v>219</v>
      </c>
      <c r="Y60" s="3" t="s">
        <v>219</v>
      </c>
      <c r="Z60" s="11">
        <v>0</v>
      </c>
      <c r="AA60" s="11">
        <f t="shared" si="7"/>
        <v>0</v>
      </c>
      <c r="AB60" s="24"/>
    </row>
    <row r="61" spans="1:28" x14ac:dyDescent="0.3">
      <c r="A61" s="10">
        <f t="shared" si="4"/>
        <v>46122</v>
      </c>
      <c r="B61" s="21" t="s">
        <v>76</v>
      </c>
      <c r="C61" s="22">
        <v>1152321</v>
      </c>
      <c r="D61" s="21" t="s">
        <v>10</v>
      </c>
      <c r="E61" s="23">
        <v>46122</v>
      </c>
      <c r="F61" s="10">
        <f t="shared" ca="1" si="5"/>
        <v>1</v>
      </c>
      <c r="G61" s="23"/>
      <c r="H61" s="10">
        <f t="shared" ca="1" si="6"/>
        <v>0</v>
      </c>
      <c r="I61" s="3"/>
      <c r="J61" s="11"/>
      <c r="K61" s="12" t="s">
        <v>94</v>
      </c>
      <c r="L61" s="12" t="s">
        <v>31</v>
      </c>
      <c r="M61" s="12" t="s">
        <v>63</v>
      </c>
      <c r="N61" s="21"/>
      <c r="O61" s="4" t="s">
        <v>219</v>
      </c>
      <c r="P61" s="3" t="s">
        <v>219</v>
      </c>
      <c r="Q61" s="4" t="s">
        <v>219</v>
      </c>
      <c r="R61" s="3" t="s">
        <v>219</v>
      </c>
      <c r="S61" s="3" t="s">
        <v>219</v>
      </c>
      <c r="T61" s="12" t="s">
        <v>101</v>
      </c>
      <c r="U61" s="4" t="s">
        <v>219</v>
      </c>
      <c r="V61" s="3" t="s">
        <v>219</v>
      </c>
      <c r="W61" s="3" t="s">
        <v>219</v>
      </c>
      <c r="X61" s="3" t="s">
        <v>219</v>
      </c>
      <c r="Y61" s="3" t="s">
        <v>219</v>
      </c>
      <c r="Z61" s="11">
        <v>0</v>
      </c>
      <c r="AA61" s="11">
        <f t="shared" si="7"/>
        <v>0</v>
      </c>
      <c r="AB61" s="24" t="s">
        <v>186</v>
      </c>
    </row>
    <row r="62" spans="1:28" x14ac:dyDescent="0.3">
      <c r="A62" s="10">
        <f t="shared" si="4"/>
        <v>46122</v>
      </c>
      <c r="B62" s="21" t="s">
        <v>80</v>
      </c>
      <c r="C62" s="22">
        <v>1154351</v>
      </c>
      <c r="D62" s="21" t="s">
        <v>44</v>
      </c>
      <c r="E62" s="23">
        <v>46122</v>
      </c>
      <c r="F62" s="10">
        <f t="shared" ca="1" si="5"/>
        <v>1</v>
      </c>
      <c r="G62" s="23"/>
      <c r="H62" s="10">
        <f t="shared" ca="1" si="6"/>
        <v>0</v>
      </c>
      <c r="I62" s="3"/>
      <c r="J62" s="11"/>
      <c r="K62" s="12" t="s">
        <v>94</v>
      </c>
      <c r="L62" s="12" t="s">
        <v>31</v>
      </c>
      <c r="M62" s="12" t="s">
        <v>63</v>
      </c>
      <c r="N62" s="21"/>
      <c r="O62" s="4" t="s">
        <v>219</v>
      </c>
      <c r="P62" s="3" t="s">
        <v>219</v>
      </c>
      <c r="Q62" s="4" t="s">
        <v>219</v>
      </c>
      <c r="R62" s="3" t="s">
        <v>219</v>
      </c>
      <c r="S62" s="3" t="s">
        <v>219</v>
      </c>
      <c r="T62" s="12" t="s">
        <v>101</v>
      </c>
      <c r="U62" s="4" t="s">
        <v>218</v>
      </c>
      <c r="V62" s="3" t="s">
        <v>96</v>
      </c>
      <c r="W62" s="3" t="s">
        <v>219</v>
      </c>
      <c r="X62" s="3" t="s">
        <v>219</v>
      </c>
      <c r="Y62" s="3" t="s">
        <v>219</v>
      </c>
      <c r="Z62" s="11">
        <v>0</v>
      </c>
      <c r="AA62" s="11">
        <f t="shared" si="7"/>
        <v>0</v>
      </c>
      <c r="AB62" s="24"/>
    </row>
    <row r="63" spans="1:28" x14ac:dyDescent="0.3">
      <c r="A63" s="10">
        <f t="shared" si="4"/>
        <v>46122</v>
      </c>
      <c r="B63" s="21" t="s">
        <v>111</v>
      </c>
      <c r="C63" s="22">
        <v>1160316</v>
      </c>
      <c r="D63" s="21" t="s">
        <v>14</v>
      </c>
      <c r="E63" s="23">
        <v>46122</v>
      </c>
      <c r="F63" s="10">
        <f t="shared" ca="1" si="5"/>
        <v>1</v>
      </c>
      <c r="G63" s="23"/>
      <c r="H63" s="10">
        <f t="shared" ca="1" si="6"/>
        <v>0</v>
      </c>
      <c r="I63" s="3" t="s">
        <v>37</v>
      </c>
      <c r="J63" s="11">
        <v>345</v>
      </c>
      <c r="K63" s="12" t="s">
        <v>94</v>
      </c>
      <c r="L63" s="12" t="s">
        <v>31</v>
      </c>
      <c r="M63" s="12" t="s">
        <v>32</v>
      </c>
      <c r="N63" s="21" t="s">
        <v>74</v>
      </c>
      <c r="O63" s="4" t="s">
        <v>219</v>
      </c>
      <c r="P63" s="3" t="s">
        <v>219</v>
      </c>
      <c r="Q63" s="4" t="s">
        <v>219</v>
      </c>
      <c r="R63" s="3" t="s">
        <v>219</v>
      </c>
      <c r="S63" s="3" t="s">
        <v>219</v>
      </c>
      <c r="T63" s="12" t="s">
        <v>35</v>
      </c>
      <c r="U63" s="4" t="s">
        <v>219</v>
      </c>
      <c r="V63" s="3" t="s">
        <v>219</v>
      </c>
      <c r="W63" s="3" t="s">
        <v>219</v>
      </c>
      <c r="X63" s="3" t="s">
        <v>219</v>
      </c>
      <c r="Y63" s="3" t="s">
        <v>219</v>
      </c>
      <c r="Z63" s="11">
        <v>0</v>
      </c>
      <c r="AA63" s="11">
        <f t="shared" si="7"/>
        <v>345</v>
      </c>
      <c r="AB63" s="24"/>
    </row>
    <row r="64" spans="1:28" x14ac:dyDescent="0.3">
      <c r="A64" s="10">
        <f t="shared" si="4"/>
        <v>46122</v>
      </c>
      <c r="B64" s="21" t="s">
        <v>43</v>
      </c>
      <c r="C64" s="22">
        <v>1160486</v>
      </c>
      <c r="D64" s="21" t="s">
        <v>10</v>
      </c>
      <c r="E64" s="23">
        <v>46122</v>
      </c>
      <c r="F64" s="10">
        <f t="shared" ca="1" si="5"/>
        <v>1</v>
      </c>
      <c r="G64" s="23"/>
      <c r="H64" s="10">
        <f t="shared" ca="1" si="6"/>
        <v>0</v>
      </c>
      <c r="I64" s="3"/>
      <c r="J64" s="11"/>
      <c r="K64" s="12" t="s">
        <v>94</v>
      </c>
      <c r="L64" s="12" t="s">
        <v>31</v>
      </c>
      <c r="M64" s="12"/>
      <c r="N64" s="21"/>
      <c r="O64" s="4" t="s">
        <v>219</v>
      </c>
      <c r="P64" s="3" t="s">
        <v>219</v>
      </c>
      <c r="Q64" s="4" t="s">
        <v>219</v>
      </c>
      <c r="R64" s="3" t="s">
        <v>219</v>
      </c>
      <c r="S64" s="3" t="s">
        <v>219</v>
      </c>
      <c r="T64" s="12" t="s">
        <v>101</v>
      </c>
      <c r="U64" s="4" t="s">
        <v>219</v>
      </c>
      <c r="V64" s="3" t="s">
        <v>219</v>
      </c>
      <c r="W64" s="3" t="s">
        <v>219</v>
      </c>
      <c r="X64" s="3" t="s">
        <v>219</v>
      </c>
      <c r="Y64" s="3" t="s">
        <v>219</v>
      </c>
      <c r="Z64" s="11">
        <v>0</v>
      </c>
      <c r="AA64" s="11">
        <f t="shared" si="7"/>
        <v>0</v>
      </c>
      <c r="AB64" s="24"/>
    </row>
    <row r="65" spans="1:28" x14ac:dyDescent="0.3">
      <c r="A65" s="10">
        <f t="shared" si="4"/>
        <v>46122</v>
      </c>
      <c r="B65" s="21" t="s">
        <v>33</v>
      </c>
      <c r="C65" s="22">
        <v>1160500</v>
      </c>
      <c r="D65" s="21" t="s">
        <v>10</v>
      </c>
      <c r="E65" s="23">
        <v>46122</v>
      </c>
      <c r="F65" s="10">
        <f t="shared" ca="1" si="5"/>
        <v>1</v>
      </c>
      <c r="G65" s="23"/>
      <c r="H65" s="10">
        <f t="shared" ca="1" si="6"/>
        <v>0</v>
      </c>
      <c r="I65" s="3"/>
      <c r="J65" s="11"/>
      <c r="K65" s="12" t="s">
        <v>94</v>
      </c>
      <c r="L65" s="12" t="s">
        <v>98</v>
      </c>
      <c r="M65" s="12"/>
      <c r="N65" s="21"/>
      <c r="O65" s="4" t="s">
        <v>219</v>
      </c>
      <c r="P65" s="3" t="s">
        <v>219</v>
      </c>
      <c r="Q65" s="4" t="s">
        <v>219</v>
      </c>
      <c r="R65" s="3" t="s">
        <v>219</v>
      </c>
      <c r="S65" s="3" t="s">
        <v>219</v>
      </c>
      <c r="T65" s="12" t="s">
        <v>101</v>
      </c>
      <c r="U65" s="4" t="s">
        <v>219</v>
      </c>
      <c r="V65" s="3" t="s">
        <v>219</v>
      </c>
      <c r="W65" s="3" t="s">
        <v>219</v>
      </c>
      <c r="X65" s="3" t="s">
        <v>219</v>
      </c>
      <c r="Y65" s="3" t="s">
        <v>219</v>
      </c>
      <c r="Z65" s="11">
        <v>0</v>
      </c>
      <c r="AA65" s="11">
        <f t="shared" si="7"/>
        <v>0</v>
      </c>
      <c r="AB65" s="24"/>
    </row>
    <row r="66" spans="1:28" x14ac:dyDescent="0.3">
      <c r="A66" s="10">
        <f t="shared" ref="A66:A97" si="8">E66-G66</f>
        <v>46122</v>
      </c>
      <c r="B66" s="21" t="s">
        <v>161</v>
      </c>
      <c r="C66" s="22">
        <v>1160501</v>
      </c>
      <c r="D66" s="21" t="s">
        <v>10</v>
      </c>
      <c r="E66" s="23">
        <v>46122</v>
      </c>
      <c r="F66" s="10">
        <f t="shared" ref="F66:F97" ca="1" si="9">IF(AND(E66&gt;=TODAY(),E66&lt;=TODAY()+5),1,IF(AND(E66&gt;TODAY()+1,E66&lt;=TODAY()+10),2,IF(AND(E66&gt;TODAY()+2,E66&lt;=TODAY()+15),3,IF(AND(E66&gt;TODAY()+3,E66&lt;=TODAY()+365),4,0))))</f>
        <v>1</v>
      </c>
      <c r="G66" s="23"/>
      <c r="H66" s="10">
        <f t="shared" ref="H66:H97" ca="1" si="10">IF(AND(G66&gt;=TODAY(),G66&lt;=TODAY()+5),1,IF(AND(G66&gt;TODAY()+1,G66&lt;=TODAY()+10),2,IF(AND(G66&gt;TODAY()+2,G66&lt;=TODAY()+15),3,IF(AND(G66&gt;TODAY()+3,G66&lt;=TODAY()+365),4,0))))</f>
        <v>0</v>
      </c>
      <c r="I66" s="3"/>
      <c r="J66" s="11"/>
      <c r="K66" s="12" t="s">
        <v>94</v>
      </c>
      <c r="L66" s="12" t="s">
        <v>98</v>
      </c>
      <c r="M66" s="12"/>
      <c r="N66" s="21"/>
      <c r="O66" s="4" t="s">
        <v>219</v>
      </c>
      <c r="P66" s="3" t="s">
        <v>219</v>
      </c>
      <c r="Q66" s="4" t="s">
        <v>219</v>
      </c>
      <c r="R66" s="3" t="s">
        <v>219</v>
      </c>
      <c r="S66" s="3" t="s">
        <v>219</v>
      </c>
      <c r="T66" s="12" t="s">
        <v>101</v>
      </c>
      <c r="U66" s="4" t="s">
        <v>219</v>
      </c>
      <c r="V66" s="3" t="s">
        <v>219</v>
      </c>
      <c r="W66" s="3" t="s">
        <v>219</v>
      </c>
      <c r="X66" s="3" t="s">
        <v>219</v>
      </c>
      <c r="Y66" s="3" t="s">
        <v>219</v>
      </c>
      <c r="Z66" s="11">
        <v>0</v>
      </c>
      <c r="AA66" s="11">
        <f t="shared" ref="AA66:AA97" si="11">J66-Z66</f>
        <v>0</v>
      </c>
      <c r="AB66" s="24"/>
    </row>
    <row r="67" spans="1:28" x14ac:dyDescent="0.3">
      <c r="A67" s="10">
        <f t="shared" si="8"/>
        <v>46123</v>
      </c>
      <c r="B67" s="21" t="s">
        <v>51</v>
      </c>
      <c r="C67" s="22">
        <v>1144924</v>
      </c>
      <c r="D67" s="21" t="s">
        <v>52</v>
      </c>
      <c r="E67" s="23">
        <v>46123</v>
      </c>
      <c r="F67" s="10">
        <f t="shared" ca="1" si="9"/>
        <v>2</v>
      </c>
      <c r="G67" s="23"/>
      <c r="H67" s="10">
        <f t="shared" ca="1" si="10"/>
        <v>0</v>
      </c>
      <c r="I67" s="3"/>
      <c r="J67" s="11"/>
      <c r="K67" s="12" t="s">
        <v>94</v>
      </c>
      <c r="L67" s="12" t="s">
        <v>98</v>
      </c>
      <c r="M67" s="12" t="s">
        <v>175</v>
      </c>
      <c r="N67" s="21"/>
      <c r="O67" s="4" t="s">
        <v>219</v>
      </c>
      <c r="P67" s="3" t="s">
        <v>219</v>
      </c>
      <c r="Q67" s="4" t="s">
        <v>219</v>
      </c>
      <c r="R67" s="3" t="s">
        <v>219</v>
      </c>
      <c r="S67" s="3" t="s">
        <v>219</v>
      </c>
      <c r="T67" s="12" t="s">
        <v>101</v>
      </c>
      <c r="U67" s="4" t="s">
        <v>219</v>
      </c>
      <c r="V67" s="3" t="s">
        <v>219</v>
      </c>
      <c r="W67" s="3" t="s">
        <v>219</v>
      </c>
      <c r="X67" s="3" t="s">
        <v>219</v>
      </c>
      <c r="Y67" s="3" t="s">
        <v>219</v>
      </c>
      <c r="Z67" s="11">
        <v>0</v>
      </c>
      <c r="AA67" s="11">
        <f t="shared" si="11"/>
        <v>0</v>
      </c>
      <c r="AB67" s="24" t="s">
        <v>192</v>
      </c>
    </row>
    <row r="68" spans="1:28" x14ac:dyDescent="0.3">
      <c r="A68" s="10">
        <f t="shared" si="8"/>
        <v>46123</v>
      </c>
      <c r="B68" s="21" t="s">
        <v>46</v>
      </c>
      <c r="C68" s="22">
        <v>1146666</v>
      </c>
      <c r="D68" s="21" t="s">
        <v>39</v>
      </c>
      <c r="E68" s="23">
        <v>46123</v>
      </c>
      <c r="F68" s="10">
        <f t="shared" ca="1" si="9"/>
        <v>2</v>
      </c>
      <c r="G68" s="23"/>
      <c r="H68" s="10">
        <f t="shared" ca="1" si="10"/>
        <v>0</v>
      </c>
      <c r="I68" s="3"/>
      <c r="J68" s="11"/>
      <c r="K68" s="12" t="s">
        <v>94</v>
      </c>
      <c r="L68" s="12" t="s">
        <v>98</v>
      </c>
      <c r="M68" s="12" t="s">
        <v>175</v>
      </c>
      <c r="N68" s="21"/>
      <c r="O68" s="4" t="s">
        <v>219</v>
      </c>
      <c r="P68" s="3" t="s">
        <v>219</v>
      </c>
      <c r="Q68" s="4" t="s">
        <v>219</v>
      </c>
      <c r="R68" s="3" t="s">
        <v>219</v>
      </c>
      <c r="S68" s="3" t="s">
        <v>219</v>
      </c>
      <c r="T68" s="12" t="s">
        <v>101</v>
      </c>
      <c r="U68" s="4" t="s">
        <v>219</v>
      </c>
      <c r="V68" s="3" t="s">
        <v>219</v>
      </c>
      <c r="W68" s="3" t="s">
        <v>219</v>
      </c>
      <c r="X68" s="3" t="s">
        <v>219</v>
      </c>
      <c r="Y68" s="3" t="s">
        <v>219</v>
      </c>
      <c r="Z68" s="11">
        <v>0</v>
      </c>
      <c r="AA68" s="11">
        <f t="shared" si="11"/>
        <v>0</v>
      </c>
      <c r="AB68" s="24" t="s">
        <v>193</v>
      </c>
    </row>
    <row r="69" spans="1:28" x14ac:dyDescent="0.3">
      <c r="A69" s="10">
        <f t="shared" si="8"/>
        <v>46123</v>
      </c>
      <c r="B69" s="21" t="s">
        <v>58</v>
      </c>
      <c r="C69" s="22">
        <v>1149033</v>
      </c>
      <c r="D69" s="21" t="s">
        <v>6</v>
      </c>
      <c r="E69" s="23">
        <v>46123</v>
      </c>
      <c r="F69" s="10">
        <f t="shared" ca="1" si="9"/>
        <v>2</v>
      </c>
      <c r="G69" s="23"/>
      <c r="H69" s="10">
        <f t="shared" ca="1" si="10"/>
        <v>0</v>
      </c>
      <c r="I69" s="3"/>
      <c r="J69" s="11"/>
      <c r="K69" s="12" t="s">
        <v>94</v>
      </c>
      <c r="L69" s="12" t="s">
        <v>31</v>
      </c>
      <c r="M69" s="12" t="s">
        <v>63</v>
      </c>
      <c r="N69" s="21"/>
      <c r="O69" s="4" t="s">
        <v>219</v>
      </c>
      <c r="P69" s="3" t="s">
        <v>219</v>
      </c>
      <c r="Q69" s="4" t="s">
        <v>219</v>
      </c>
      <c r="R69" s="3" t="s">
        <v>219</v>
      </c>
      <c r="S69" s="3" t="s">
        <v>219</v>
      </c>
      <c r="T69" s="12" t="s">
        <v>101</v>
      </c>
      <c r="U69" s="4" t="s">
        <v>219</v>
      </c>
      <c r="V69" s="3" t="s">
        <v>219</v>
      </c>
      <c r="W69" s="3" t="s">
        <v>219</v>
      </c>
      <c r="X69" s="3" t="s">
        <v>219</v>
      </c>
      <c r="Y69" s="3" t="s">
        <v>219</v>
      </c>
      <c r="Z69" s="11">
        <v>0</v>
      </c>
      <c r="AA69" s="11">
        <f t="shared" si="11"/>
        <v>0</v>
      </c>
      <c r="AB69" s="24"/>
    </row>
    <row r="70" spans="1:28" x14ac:dyDescent="0.3">
      <c r="A70" s="10">
        <f t="shared" si="8"/>
        <v>46123</v>
      </c>
      <c r="B70" s="21" t="s">
        <v>48</v>
      </c>
      <c r="C70" s="22">
        <v>1150690</v>
      </c>
      <c r="D70" s="21" t="s">
        <v>10</v>
      </c>
      <c r="E70" s="23">
        <v>46123</v>
      </c>
      <c r="F70" s="10">
        <f t="shared" ca="1" si="9"/>
        <v>2</v>
      </c>
      <c r="G70" s="23"/>
      <c r="H70" s="10">
        <f t="shared" ca="1" si="10"/>
        <v>0</v>
      </c>
      <c r="I70" s="3" t="s">
        <v>81</v>
      </c>
      <c r="J70" s="11">
        <v>306</v>
      </c>
      <c r="K70" s="12" t="s">
        <v>94</v>
      </c>
      <c r="L70" s="12" t="s">
        <v>31</v>
      </c>
      <c r="M70" s="12" t="s">
        <v>32</v>
      </c>
      <c r="N70" s="21" t="s">
        <v>74</v>
      </c>
      <c r="O70" s="4" t="s">
        <v>219</v>
      </c>
      <c r="P70" s="3" t="s">
        <v>219</v>
      </c>
      <c r="Q70" s="4" t="s">
        <v>219</v>
      </c>
      <c r="R70" s="3" t="s">
        <v>219</v>
      </c>
      <c r="S70" s="3" t="s">
        <v>219</v>
      </c>
      <c r="T70" s="12" t="s">
        <v>35</v>
      </c>
      <c r="U70" s="4" t="s">
        <v>219</v>
      </c>
      <c r="V70" s="3" t="s">
        <v>219</v>
      </c>
      <c r="W70" s="3" t="s">
        <v>219</v>
      </c>
      <c r="X70" s="3" t="s">
        <v>219</v>
      </c>
      <c r="Y70" s="3" t="s">
        <v>219</v>
      </c>
      <c r="Z70" s="11">
        <v>0</v>
      </c>
      <c r="AA70" s="11">
        <f t="shared" si="11"/>
        <v>306</v>
      </c>
      <c r="AB70" s="24"/>
    </row>
    <row r="71" spans="1:28" x14ac:dyDescent="0.3">
      <c r="A71" s="10">
        <f t="shared" si="8"/>
        <v>46123</v>
      </c>
      <c r="B71" s="21" t="s">
        <v>141</v>
      </c>
      <c r="C71" s="22">
        <v>1157706</v>
      </c>
      <c r="D71" s="21" t="s">
        <v>10</v>
      </c>
      <c r="E71" s="23">
        <v>46123</v>
      </c>
      <c r="F71" s="10">
        <f t="shared" ca="1" si="9"/>
        <v>2</v>
      </c>
      <c r="G71" s="23"/>
      <c r="H71" s="10">
        <f t="shared" ca="1" si="10"/>
        <v>0</v>
      </c>
      <c r="I71" s="3"/>
      <c r="J71" s="11"/>
      <c r="K71" s="12" t="s">
        <v>94</v>
      </c>
      <c r="L71" s="12" t="s">
        <v>31</v>
      </c>
      <c r="M71" s="12" t="s">
        <v>175</v>
      </c>
      <c r="N71" s="21"/>
      <c r="O71" s="4" t="s">
        <v>219</v>
      </c>
      <c r="P71" s="3" t="s">
        <v>219</v>
      </c>
      <c r="Q71" s="4" t="s">
        <v>219</v>
      </c>
      <c r="R71" s="3" t="s">
        <v>219</v>
      </c>
      <c r="S71" s="3" t="s">
        <v>219</v>
      </c>
      <c r="T71" s="12" t="s">
        <v>101</v>
      </c>
      <c r="U71" s="4" t="s">
        <v>219</v>
      </c>
      <c r="V71" s="3" t="s">
        <v>219</v>
      </c>
      <c r="W71" s="3" t="s">
        <v>219</v>
      </c>
      <c r="X71" s="3" t="s">
        <v>219</v>
      </c>
      <c r="Y71" s="3" t="s">
        <v>219</v>
      </c>
      <c r="Z71" s="11">
        <v>0</v>
      </c>
      <c r="AA71" s="11">
        <f t="shared" si="11"/>
        <v>0</v>
      </c>
      <c r="AB71" s="24" t="s">
        <v>198</v>
      </c>
    </row>
    <row r="72" spans="1:28" x14ac:dyDescent="0.3">
      <c r="A72" s="10">
        <f t="shared" si="8"/>
        <v>46123</v>
      </c>
      <c r="B72" s="21" t="s">
        <v>145</v>
      </c>
      <c r="C72" s="22">
        <v>1157924</v>
      </c>
      <c r="D72" s="21" t="s">
        <v>5</v>
      </c>
      <c r="E72" s="23">
        <v>46123</v>
      </c>
      <c r="F72" s="10">
        <f t="shared" ca="1" si="9"/>
        <v>2</v>
      </c>
      <c r="G72" s="23"/>
      <c r="H72" s="10">
        <f t="shared" ca="1" si="10"/>
        <v>0</v>
      </c>
      <c r="I72" s="3"/>
      <c r="J72" s="11"/>
      <c r="K72" s="12" t="s">
        <v>94</v>
      </c>
      <c r="L72" s="12" t="s">
        <v>31</v>
      </c>
      <c r="M72" s="12" t="s">
        <v>175</v>
      </c>
      <c r="N72" s="21"/>
      <c r="O72" s="4" t="s">
        <v>219</v>
      </c>
      <c r="P72" s="3" t="s">
        <v>219</v>
      </c>
      <c r="Q72" s="4" t="s">
        <v>219</v>
      </c>
      <c r="R72" s="3" t="s">
        <v>219</v>
      </c>
      <c r="S72" s="3" t="s">
        <v>219</v>
      </c>
      <c r="T72" s="12" t="s">
        <v>101</v>
      </c>
      <c r="U72" s="4" t="s">
        <v>219</v>
      </c>
      <c r="V72" s="3" t="s">
        <v>219</v>
      </c>
      <c r="W72" s="3" t="s">
        <v>219</v>
      </c>
      <c r="X72" s="3" t="s">
        <v>219</v>
      </c>
      <c r="Y72" s="3" t="s">
        <v>219</v>
      </c>
      <c r="Z72" s="11">
        <v>0</v>
      </c>
      <c r="AA72" s="11">
        <f t="shared" si="11"/>
        <v>0</v>
      </c>
      <c r="AB72" s="24" t="s">
        <v>197</v>
      </c>
    </row>
    <row r="73" spans="1:28" x14ac:dyDescent="0.3">
      <c r="A73" s="10">
        <f t="shared" si="8"/>
        <v>46123</v>
      </c>
      <c r="B73" s="21" t="s">
        <v>1</v>
      </c>
      <c r="C73" s="22">
        <v>1160474</v>
      </c>
      <c r="D73" s="21" t="s">
        <v>10</v>
      </c>
      <c r="E73" s="23">
        <v>46123</v>
      </c>
      <c r="F73" s="10">
        <f t="shared" ca="1" si="9"/>
        <v>2</v>
      </c>
      <c r="G73" s="23"/>
      <c r="H73" s="10">
        <f t="shared" ca="1" si="10"/>
        <v>0</v>
      </c>
      <c r="I73" s="3" t="s">
        <v>115</v>
      </c>
      <c r="J73" s="11">
        <v>347</v>
      </c>
      <c r="K73" s="12" t="s">
        <v>94</v>
      </c>
      <c r="L73" s="12" t="s">
        <v>31</v>
      </c>
      <c r="M73" s="12" t="s">
        <v>32</v>
      </c>
      <c r="N73" s="21" t="s">
        <v>74</v>
      </c>
      <c r="O73" s="4" t="s">
        <v>219</v>
      </c>
      <c r="P73" s="3" t="s">
        <v>219</v>
      </c>
      <c r="Q73" s="4" t="s">
        <v>219</v>
      </c>
      <c r="R73" s="3" t="s">
        <v>219</v>
      </c>
      <c r="S73" s="3" t="s">
        <v>219</v>
      </c>
      <c r="T73" s="12" t="s">
        <v>35</v>
      </c>
      <c r="U73" s="4" t="s">
        <v>219</v>
      </c>
      <c r="V73" s="3" t="s">
        <v>219</v>
      </c>
      <c r="W73" s="3" t="s">
        <v>219</v>
      </c>
      <c r="X73" s="3" t="s">
        <v>219</v>
      </c>
      <c r="Y73" s="3" t="s">
        <v>219</v>
      </c>
      <c r="Z73" s="11">
        <v>0</v>
      </c>
      <c r="AA73" s="11">
        <f t="shared" si="11"/>
        <v>347</v>
      </c>
      <c r="AB73" s="24"/>
    </row>
    <row r="74" spans="1:28" x14ac:dyDescent="0.3">
      <c r="A74" s="10">
        <f t="shared" si="8"/>
        <v>46123</v>
      </c>
      <c r="B74" s="21" t="s">
        <v>104</v>
      </c>
      <c r="C74" s="22">
        <v>1161321</v>
      </c>
      <c r="D74" s="21" t="s">
        <v>57</v>
      </c>
      <c r="E74" s="23">
        <v>46123</v>
      </c>
      <c r="F74" s="10">
        <f t="shared" ca="1" si="9"/>
        <v>2</v>
      </c>
      <c r="G74" s="23"/>
      <c r="H74" s="10">
        <f t="shared" ca="1" si="10"/>
        <v>0</v>
      </c>
      <c r="I74" s="3" t="s">
        <v>20</v>
      </c>
      <c r="J74" s="11">
        <v>515</v>
      </c>
      <c r="K74" s="12" t="s">
        <v>94</v>
      </c>
      <c r="L74" s="12" t="s">
        <v>31</v>
      </c>
      <c r="M74" s="12" t="s">
        <v>32</v>
      </c>
      <c r="N74" s="21" t="s">
        <v>74</v>
      </c>
      <c r="O74" s="4" t="s">
        <v>219</v>
      </c>
      <c r="P74" s="3" t="s">
        <v>219</v>
      </c>
      <c r="Q74" s="4" t="s">
        <v>219</v>
      </c>
      <c r="R74" s="3" t="s">
        <v>219</v>
      </c>
      <c r="S74" s="3" t="s">
        <v>219</v>
      </c>
      <c r="T74" s="12" t="s">
        <v>35</v>
      </c>
      <c r="U74" s="4" t="s">
        <v>219</v>
      </c>
      <c r="V74" s="3" t="s">
        <v>219</v>
      </c>
      <c r="W74" s="3" t="s">
        <v>219</v>
      </c>
      <c r="X74" s="3" t="s">
        <v>219</v>
      </c>
      <c r="Y74" s="3" t="s">
        <v>219</v>
      </c>
      <c r="Z74" s="11">
        <v>0</v>
      </c>
      <c r="AA74" s="11">
        <f t="shared" si="11"/>
        <v>515</v>
      </c>
      <c r="AB74" s="24"/>
    </row>
    <row r="75" spans="1:28" x14ac:dyDescent="0.3">
      <c r="A75" s="10">
        <f t="shared" si="8"/>
        <v>46123</v>
      </c>
      <c r="B75" s="21" t="s">
        <v>144</v>
      </c>
      <c r="C75" s="22">
        <v>1161619</v>
      </c>
      <c r="D75" s="21" t="s">
        <v>15</v>
      </c>
      <c r="E75" s="23">
        <v>46123</v>
      </c>
      <c r="F75" s="10">
        <f t="shared" ca="1" si="9"/>
        <v>2</v>
      </c>
      <c r="G75" s="23"/>
      <c r="H75" s="10">
        <f t="shared" ca="1" si="10"/>
        <v>0</v>
      </c>
      <c r="I75" s="3"/>
      <c r="J75" s="11"/>
      <c r="K75" s="12" t="s">
        <v>94</v>
      </c>
      <c r="L75" s="12" t="s">
        <v>98</v>
      </c>
      <c r="M75" s="12"/>
      <c r="N75" s="21"/>
      <c r="O75" s="4" t="s">
        <v>219</v>
      </c>
      <c r="P75" s="3" t="s">
        <v>219</v>
      </c>
      <c r="Q75" s="4" t="s">
        <v>219</v>
      </c>
      <c r="R75" s="3" t="s">
        <v>219</v>
      </c>
      <c r="S75" s="3" t="s">
        <v>219</v>
      </c>
      <c r="T75" s="12" t="s">
        <v>101</v>
      </c>
      <c r="U75" s="4" t="s">
        <v>219</v>
      </c>
      <c r="V75" s="3" t="s">
        <v>219</v>
      </c>
      <c r="W75" s="3" t="s">
        <v>219</v>
      </c>
      <c r="X75" s="3" t="s">
        <v>219</v>
      </c>
      <c r="Y75" s="3" t="s">
        <v>219</v>
      </c>
      <c r="Z75" s="11">
        <v>0</v>
      </c>
      <c r="AA75" s="11">
        <f t="shared" si="11"/>
        <v>0</v>
      </c>
      <c r="AB75" s="24"/>
    </row>
    <row r="76" spans="1:28" x14ac:dyDescent="0.3">
      <c r="A76" s="10">
        <f t="shared" si="8"/>
        <v>46123</v>
      </c>
      <c r="B76" s="21" t="s">
        <v>148</v>
      </c>
      <c r="C76" s="22">
        <v>1161622</v>
      </c>
      <c r="D76" s="21" t="s">
        <v>11</v>
      </c>
      <c r="E76" s="23">
        <v>46123</v>
      </c>
      <c r="F76" s="10">
        <f t="shared" ca="1" si="9"/>
        <v>2</v>
      </c>
      <c r="G76" s="23"/>
      <c r="H76" s="10">
        <f t="shared" ca="1" si="10"/>
        <v>0</v>
      </c>
      <c r="I76" s="3"/>
      <c r="J76" s="11"/>
      <c r="K76" s="12" t="s">
        <v>94</v>
      </c>
      <c r="L76" s="12" t="s">
        <v>31</v>
      </c>
      <c r="M76" s="12"/>
      <c r="N76" s="21"/>
      <c r="O76" s="4" t="s">
        <v>219</v>
      </c>
      <c r="P76" s="3" t="s">
        <v>219</v>
      </c>
      <c r="Q76" s="4" t="s">
        <v>219</v>
      </c>
      <c r="R76" s="3" t="s">
        <v>219</v>
      </c>
      <c r="S76" s="3" t="s">
        <v>219</v>
      </c>
      <c r="T76" s="12" t="s">
        <v>101</v>
      </c>
      <c r="U76" s="4" t="s">
        <v>219</v>
      </c>
      <c r="V76" s="3" t="s">
        <v>219</v>
      </c>
      <c r="W76" s="3" t="s">
        <v>219</v>
      </c>
      <c r="X76" s="3" t="s">
        <v>219</v>
      </c>
      <c r="Y76" s="3" t="s">
        <v>219</v>
      </c>
      <c r="Z76" s="11">
        <v>0</v>
      </c>
      <c r="AA76" s="11">
        <f t="shared" si="11"/>
        <v>0</v>
      </c>
      <c r="AB76" s="24"/>
    </row>
    <row r="77" spans="1:28" x14ac:dyDescent="0.3">
      <c r="A77" s="10">
        <f t="shared" si="8"/>
        <v>46123</v>
      </c>
      <c r="B77" s="21" t="s">
        <v>60</v>
      </c>
      <c r="C77" s="22">
        <v>1161641</v>
      </c>
      <c r="D77" s="21" t="s">
        <v>174</v>
      </c>
      <c r="E77" s="23">
        <v>46123</v>
      </c>
      <c r="F77" s="10">
        <f t="shared" ca="1" si="9"/>
        <v>2</v>
      </c>
      <c r="G77" s="23"/>
      <c r="H77" s="10">
        <f t="shared" ca="1" si="10"/>
        <v>0</v>
      </c>
      <c r="I77" s="3"/>
      <c r="J77" s="11"/>
      <c r="K77" s="12" t="s">
        <v>94</v>
      </c>
      <c r="L77" s="12" t="s">
        <v>98</v>
      </c>
      <c r="M77" s="12"/>
      <c r="N77" s="21"/>
      <c r="O77" s="4" t="s">
        <v>219</v>
      </c>
      <c r="P77" s="3" t="s">
        <v>219</v>
      </c>
      <c r="Q77" s="4" t="s">
        <v>219</v>
      </c>
      <c r="R77" s="3" t="s">
        <v>219</v>
      </c>
      <c r="S77" s="3" t="s">
        <v>219</v>
      </c>
      <c r="T77" s="12" t="s">
        <v>101</v>
      </c>
      <c r="U77" s="4" t="s">
        <v>219</v>
      </c>
      <c r="V77" s="3" t="s">
        <v>219</v>
      </c>
      <c r="W77" s="3" t="s">
        <v>219</v>
      </c>
      <c r="X77" s="3" t="s">
        <v>219</v>
      </c>
      <c r="Y77" s="3" t="s">
        <v>219</v>
      </c>
      <c r="Z77" s="11">
        <v>0</v>
      </c>
      <c r="AA77" s="11">
        <f t="shared" si="11"/>
        <v>0</v>
      </c>
      <c r="AB77" s="24"/>
    </row>
    <row r="78" spans="1:28" x14ac:dyDescent="0.3">
      <c r="A78" s="10">
        <f t="shared" si="8"/>
        <v>46123</v>
      </c>
      <c r="B78" s="21" t="s">
        <v>152</v>
      </c>
      <c r="C78" s="22">
        <v>1161994</v>
      </c>
      <c r="D78" s="21" t="s">
        <v>5</v>
      </c>
      <c r="E78" s="23">
        <v>46123</v>
      </c>
      <c r="F78" s="10">
        <f t="shared" ca="1" si="9"/>
        <v>2</v>
      </c>
      <c r="G78" s="23"/>
      <c r="H78" s="10">
        <f t="shared" ca="1" si="10"/>
        <v>0</v>
      </c>
      <c r="I78" s="3"/>
      <c r="J78" s="11"/>
      <c r="K78" s="12" t="s">
        <v>94</v>
      </c>
      <c r="L78" s="12" t="s">
        <v>98</v>
      </c>
      <c r="M78" s="12"/>
      <c r="N78" s="21"/>
      <c r="O78" s="4" t="s">
        <v>219</v>
      </c>
      <c r="P78" s="3" t="s">
        <v>219</v>
      </c>
      <c r="Q78" s="4" t="s">
        <v>219</v>
      </c>
      <c r="R78" s="3" t="s">
        <v>219</v>
      </c>
      <c r="S78" s="3" t="s">
        <v>219</v>
      </c>
      <c r="T78" s="12" t="s">
        <v>101</v>
      </c>
      <c r="U78" s="4" t="s">
        <v>219</v>
      </c>
      <c r="V78" s="3" t="s">
        <v>219</v>
      </c>
      <c r="W78" s="3" t="s">
        <v>219</v>
      </c>
      <c r="X78" s="3" t="s">
        <v>219</v>
      </c>
      <c r="Y78" s="3" t="s">
        <v>219</v>
      </c>
      <c r="Z78" s="11">
        <v>0</v>
      </c>
      <c r="AA78" s="11">
        <f t="shared" si="11"/>
        <v>0</v>
      </c>
      <c r="AB78" s="24"/>
    </row>
    <row r="79" spans="1:28" x14ac:dyDescent="0.3">
      <c r="A79" s="10">
        <f t="shared" si="8"/>
        <v>46123</v>
      </c>
      <c r="B79" s="21" t="s">
        <v>48</v>
      </c>
      <c r="C79" s="22">
        <v>1162890</v>
      </c>
      <c r="D79" s="21" t="s">
        <v>10</v>
      </c>
      <c r="E79" s="23">
        <v>46123</v>
      </c>
      <c r="F79" s="10">
        <f t="shared" ca="1" si="9"/>
        <v>2</v>
      </c>
      <c r="G79" s="23"/>
      <c r="H79" s="10">
        <f t="shared" ca="1" si="10"/>
        <v>0</v>
      </c>
      <c r="I79" s="3"/>
      <c r="J79" s="11"/>
      <c r="K79" s="12" t="s">
        <v>94</v>
      </c>
      <c r="L79" s="12" t="s">
        <v>98</v>
      </c>
      <c r="M79" s="12"/>
      <c r="N79" s="21"/>
      <c r="O79" s="4" t="s">
        <v>219</v>
      </c>
      <c r="P79" s="3" t="s">
        <v>219</v>
      </c>
      <c r="Q79" s="4" t="s">
        <v>219</v>
      </c>
      <c r="R79" s="3" t="s">
        <v>219</v>
      </c>
      <c r="S79" s="3" t="s">
        <v>219</v>
      </c>
      <c r="T79" s="12" t="s">
        <v>101</v>
      </c>
      <c r="U79" s="4" t="s">
        <v>219</v>
      </c>
      <c r="V79" s="3" t="s">
        <v>219</v>
      </c>
      <c r="W79" s="3" t="s">
        <v>219</v>
      </c>
      <c r="X79" s="3" t="s">
        <v>219</v>
      </c>
      <c r="Y79" s="3" t="s">
        <v>219</v>
      </c>
      <c r="Z79" s="11">
        <v>0</v>
      </c>
      <c r="AA79" s="11">
        <f t="shared" si="11"/>
        <v>0</v>
      </c>
      <c r="AB79" s="24"/>
    </row>
    <row r="80" spans="1:28" x14ac:dyDescent="0.3">
      <c r="A80" s="10">
        <f t="shared" si="8"/>
        <v>46123</v>
      </c>
      <c r="B80" s="21" t="s">
        <v>38</v>
      </c>
      <c r="C80" s="22">
        <v>1163607</v>
      </c>
      <c r="D80" s="21" t="s">
        <v>13</v>
      </c>
      <c r="E80" s="23">
        <v>46123</v>
      </c>
      <c r="F80" s="10">
        <f t="shared" ca="1" si="9"/>
        <v>2</v>
      </c>
      <c r="G80" s="23"/>
      <c r="H80" s="10">
        <f t="shared" ca="1" si="10"/>
        <v>0</v>
      </c>
      <c r="I80" s="3"/>
      <c r="J80" s="11"/>
      <c r="K80" s="12" t="s">
        <v>94</v>
      </c>
      <c r="L80" s="12" t="s">
        <v>31</v>
      </c>
      <c r="M80" s="12" t="s">
        <v>63</v>
      </c>
      <c r="N80" s="21"/>
      <c r="O80" s="4" t="s">
        <v>219</v>
      </c>
      <c r="P80" s="3" t="s">
        <v>219</v>
      </c>
      <c r="Q80" s="4" t="s">
        <v>219</v>
      </c>
      <c r="R80" s="3" t="s">
        <v>219</v>
      </c>
      <c r="S80" s="3" t="s">
        <v>219</v>
      </c>
      <c r="T80" s="12" t="s">
        <v>101</v>
      </c>
      <c r="U80" s="4" t="s">
        <v>219</v>
      </c>
      <c r="V80" s="3" t="s">
        <v>219</v>
      </c>
      <c r="W80" s="3" t="s">
        <v>219</v>
      </c>
      <c r="X80" s="3" t="s">
        <v>219</v>
      </c>
      <c r="Y80" s="3" t="s">
        <v>219</v>
      </c>
      <c r="Z80" s="11">
        <v>0</v>
      </c>
      <c r="AA80" s="11">
        <f t="shared" si="11"/>
        <v>0</v>
      </c>
      <c r="AB80" s="24" t="s">
        <v>190</v>
      </c>
    </row>
    <row r="81" spans="1:28" x14ac:dyDescent="0.3">
      <c r="A81" s="10">
        <f t="shared" si="8"/>
        <v>46125</v>
      </c>
      <c r="B81" s="21" t="s">
        <v>48</v>
      </c>
      <c r="C81" s="22">
        <v>1146653</v>
      </c>
      <c r="D81" s="21" t="s">
        <v>50</v>
      </c>
      <c r="E81" s="23">
        <v>46125</v>
      </c>
      <c r="F81" s="10">
        <f t="shared" ca="1" si="9"/>
        <v>2</v>
      </c>
      <c r="G81" s="23"/>
      <c r="H81" s="10">
        <f t="shared" ca="1" si="10"/>
        <v>0</v>
      </c>
      <c r="I81" s="3"/>
      <c r="J81" s="11"/>
      <c r="K81" s="12" t="s">
        <v>94</v>
      </c>
      <c r="L81" s="12" t="s">
        <v>98</v>
      </c>
      <c r="M81" s="12" t="s">
        <v>175</v>
      </c>
      <c r="N81" s="21"/>
      <c r="O81" s="4" t="s">
        <v>219</v>
      </c>
      <c r="P81" s="3" t="s">
        <v>219</v>
      </c>
      <c r="Q81" s="4" t="s">
        <v>219</v>
      </c>
      <c r="R81" s="3" t="s">
        <v>219</v>
      </c>
      <c r="S81" s="3" t="s">
        <v>219</v>
      </c>
      <c r="T81" s="12" t="s">
        <v>101</v>
      </c>
      <c r="U81" s="4" t="s">
        <v>219</v>
      </c>
      <c r="V81" s="3" t="s">
        <v>219</v>
      </c>
      <c r="W81" s="3" t="s">
        <v>219</v>
      </c>
      <c r="X81" s="3" t="s">
        <v>219</v>
      </c>
      <c r="Y81" s="3" t="s">
        <v>219</v>
      </c>
      <c r="Z81" s="11">
        <v>0</v>
      </c>
      <c r="AA81" s="11">
        <f t="shared" si="11"/>
        <v>0</v>
      </c>
      <c r="AB81" s="24"/>
    </row>
    <row r="82" spans="1:28" x14ac:dyDescent="0.3">
      <c r="A82" s="10">
        <f t="shared" si="8"/>
        <v>46125</v>
      </c>
      <c r="B82" s="21" t="s">
        <v>34</v>
      </c>
      <c r="C82" s="22">
        <v>1164284</v>
      </c>
      <c r="D82" s="21" t="s">
        <v>10</v>
      </c>
      <c r="E82" s="23">
        <v>46125</v>
      </c>
      <c r="F82" s="10">
        <f t="shared" ca="1" si="9"/>
        <v>2</v>
      </c>
      <c r="G82" s="23"/>
      <c r="H82" s="10">
        <f t="shared" ca="1" si="10"/>
        <v>0</v>
      </c>
      <c r="I82" s="3"/>
      <c r="J82" s="11"/>
      <c r="K82" s="12" t="s">
        <v>94</v>
      </c>
      <c r="L82" s="12" t="s">
        <v>31</v>
      </c>
      <c r="M82" s="12"/>
      <c r="N82" s="21"/>
      <c r="O82" s="4" t="s">
        <v>219</v>
      </c>
      <c r="P82" s="3" t="s">
        <v>219</v>
      </c>
      <c r="Q82" s="4" t="s">
        <v>201</v>
      </c>
      <c r="R82" s="3">
        <v>46114</v>
      </c>
      <c r="S82" s="3" t="s">
        <v>219</v>
      </c>
      <c r="T82" s="12" t="s">
        <v>101</v>
      </c>
      <c r="U82" s="4" t="s">
        <v>219</v>
      </c>
      <c r="V82" s="3" t="s">
        <v>219</v>
      </c>
      <c r="W82" s="3" t="s">
        <v>219</v>
      </c>
      <c r="X82" s="3" t="s">
        <v>219</v>
      </c>
      <c r="Y82" s="3" t="s">
        <v>219</v>
      </c>
      <c r="Z82" s="11">
        <v>0</v>
      </c>
      <c r="AA82" s="11">
        <f t="shared" si="11"/>
        <v>0</v>
      </c>
      <c r="AB82" s="24"/>
    </row>
    <row r="83" spans="1:28" x14ac:dyDescent="0.3">
      <c r="A83" s="10">
        <f t="shared" si="8"/>
        <v>46125</v>
      </c>
      <c r="B83" s="21" t="s">
        <v>147</v>
      </c>
      <c r="C83" s="22">
        <v>1164696</v>
      </c>
      <c r="D83" s="21" t="s">
        <v>11</v>
      </c>
      <c r="E83" s="23">
        <v>46125</v>
      </c>
      <c r="F83" s="10">
        <f t="shared" ca="1" si="9"/>
        <v>2</v>
      </c>
      <c r="G83" s="23"/>
      <c r="H83" s="10">
        <f t="shared" ca="1" si="10"/>
        <v>0</v>
      </c>
      <c r="I83" s="3"/>
      <c r="J83" s="11">
        <v>401</v>
      </c>
      <c r="K83" s="12" t="s">
        <v>94</v>
      </c>
      <c r="L83" s="12" t="s">
        <v>31</v>
      </c>
      <c r="M83" s="12" t="s">
        <v>32</v>
      </c>
      <c r="N83" s="21" t="s">
        <v>87</v>
      </c>
      <c r="O83" s="4" t="s">
        <v>219</v>
      </c>
      <c r="P83" s="3" t="s">
        <v>219</v>
      </c>
      <c r="Q83" s="4" t="s">
        <v>219</v>
      </c>
      <c r="R83" s="3" t="s">
        <v>219</v>
      </c>
      <c r="S83" s="3" t="s">
        <v>219</v>
      </c>
      <c r="T83" s="12" t="s">
        <v>101</v>
      </c>
      <c r="U83" s="4" t="s">
        <v>219</v>
      </c>
      <c r="V83" s="3" t="s">
        <v>219</v>
      </c>
      <c r="W83" s="3" t="s">
        <v>219</v>
      </c>
      <c r="X83" s="3" t="s">
        <v>219</v>
      </c>
      <c r="Y83" s="3" t="s">
        <v>219</v>
      </c>
      <c r="Z83" s="11">
        <v>0</v>
      </c>
      <c r="AA83" s="11">
        <f t="shared" si="11"/>
        <v>401</v>
      </c>
      <c r="AB83" s="24"/>
    </row>
    <row r="84" spans="1:28" x14ac:dyDescent="0.3">
      <c r="A84" s="10">
        <f t="shared" si="8"/>
        <v>46125</v>
      </c>
      <c r="B84" s="21" t="s">
        <v>143</v>
      </c>
      <c r="C84" s="22">
        <v>1164699</v>
      </c>
      <c r="D84" s="21" t="s">
        <v>13</v>
      </c>
      <c r="E84" s="23">
        <v>46125</v>
      </c>
      <c r="F84" s="10">
        <f t="shared" ca="1" si="9"/>
        <v>2</v>
      </c>
      <c r="G84" s="23"/>
      <c r="H84" s="10">
        <f t="shared" ca="1" si="10"/>
        <v>0</v>
      </c>
      <c r="I84" s="3"/>
      <c r="J84" s="11"/>
      <c r="K84" s="12" t="s">
        <v>94</v>
      </c>
      <c r="L84" s="12" t="s">
        <v>98</v>
      </c>
      <c r="M84" s="12"/>
      <c r="N84" s="21"/>
      <c r="O84" s="4" t="s">
        <v>219</v>
      </c>
      <c r="P84" s="3" t="s">
        <v>219</v>
      </c>
      <c r="Q84" s="4" t="s">
        <v>219</v>
      </c>
      <c r="R84" s="3" t="s">
        <v>219</v>
      </c>
      <c r="S84" s="3" t="s">
        <v>219</v>
      </c>
      <c r="T84" s="12" t="s">
        <v>101</v>
      </c>
      <c r="U84" s="4" t="s">
        <v>219</v>
      </c>
      <c r="V84" s="3" t="s">
        <v>219</v>
      </c>
      <c r="W84" s="3" t="s">
        <v>219</v>
      </c>
      <c r="X84" s="3" t="s">
        <v>219</v>
      </c>
      <c r="Y84" s="3" t="s">
        <v>219</v>
      </c>
      <c r="Z84" s="11">
        <v>0</v>
      </c>
      <c r="AA84" s="11">
        <f t="shared" si="11"/>
        <v>0</v>
      </c>
      <c r="AB84" s="24"/>
    </row>
    <row r="85" spans="1:28" x14ac:dyDescent="0.3">
      <c r="A85" s="10">
        <f t="shared" si="8"/>
        <v>46126</v>
      </c>
      <c r="B85" s="21" t="s">
        <v>16</v>
      </c>
      <c r="C85" s="22">
        <v>1161318</v>
      </c>
      <c r="D85" s="21" t="s">
        <v>14</v>
      </c>
      <c r="E85" s="23">
        <v>46126</v>
      </c>
      <c r="F85" s="10">
        <f t="shared" ca="1" si="9"/>
        <v>2</v>
      </c>
      <c r="G85" s="23"/>
      <c r="H85" s="10">
        <f t="shared" ca="1" si="10"/>
        <v>0</v>
      </c>
      <c r="I85" s="3" t="s">
        <v>21</v>
      </c>
      <c r="J85" s="11">
        <v>306</v>
      </c>
      <c r="K85" s="12" t="s">
        <v>94</v>
      </c>
      <c r="L85" s="12" t="s">
        <v>31</v>
      </c>
      <c r="M85" s="12" t="s">
        <v>32</v>
      </c>
      <c r="N85" s="21" t="s">
        <v>74</v>
      </c>
      <c r="O85" s="4" t="s">
        <v>219</v>
      </c>
      <c r="P85" s="3" t="s">
        <v>219</v>
      </c>
      <c r="Q85" s="4" t="s">
        <v>219</v>
      </c>
      <c r="R85" s="3" t="s">
        <v>219</v>
      </c>
      <c r="S85" s="3" t="s">
        <v>219</v>
      </c>
      <c r="T85" s="12" t="s">
        <v>35</v>
      </c>
      <c r="U85" s="4" t="s">
        <v>219</v>
      </c>
      <c r="V85" s="3" t="s">
        <v>219</v>
      </c>
      <c r="W85" s="3" t="s">
        <v>219</v>
      </c>
      <c r="X85" s="3" t="s">
        <v>219</v>
      </c>
      <c r="Y85" s="3" t="s">
        <v>219</v>
      </c>
      <c r="Z85" s="11">
        <v>0</v>
      </c>
      <c r="AA85" s="11">
        <f t="shared" si="11"/>
        <v>306</v>
      </c>
      <c r="AB85" s="24"/>
    </row>
    <row r="86" spans="1:28" x14ac:dyDescent="0.3">
      <c r="A86" s="10">
        <f t="shared" si="8"/>
        <v>46126</v>
      </c>
      <c r="B86" s="21" t="s">
        <v>136</v>
      </c>
      <c r="C86" s="22">
        <v>1163748</v>
      </c>
      <c r="D86" s="21" t="s">
        <v>10</v>
      </c>
      <c r="E86" s="23">
        <v>46126</v>
      </c>
      <c r="F86" s="10">
        <f t="shared" ca="1" si="9"/>
        <v>2</v>
      </c>
      <c r="G86" s="23"/>
      <c r="H86" s="10">
        <f t="shared" ca="1" si="10"/>
        <v>0</v>
      </c>
      <c r="I86" s="3"/>
      <c r="J86" s="11"/>
      <c r="K86" s="12" t="s">
        <v>94</v>
      </c>
      <c r="L86" s="12" t="s">
        <v>98</v>
      </c>
      <c r="M86" s="12"/>
      <c r="N86" s="21"/>
      <c r="O86" s="4" t="s">
        <v>219</v>
      </c>
      <c r="P86" s="3" t="s">
        <v>219</v>
      </c>
      <c r="Q86" s="4" t="s">
        <v>219</v>
      </c>
      <c r="R86" s="3" t="s">
        <v>219</v>
      </c>
      <c r="S86" s="3" t="s">
        <v>219</v>
      </c>
      <c r="T86" s="12" t="s">
        <v>101</v>
      </c>
      <c r="U86" s="4" t="s">
        <v>219</v>
      </c>
      <c r="V86" s="3" t="s">
        <v>219</v>
      </c>
      <c r="W86" s="3" t="s">
        <v>219</v>
      </c>
      <c r="X86" s="3" t="s">
        <v>219</v>
      </c>
      <c r="Y86" s="3" t="s">
        <v>219</v>
      </c>
      <c r="Z86" s="11">
        <v>0</v>
      </c>
      <c r="AA86" s="11">
        <f t="shared" si="11"/>
        <v>0</v>
      </c>
      <c r="AB86" s="24"/>
    </row>
    <row r="87" spans="1:28" x14ac:dyDescent="0.3">
      <c r="A87" s="10">
        <f t="shared" si="8"/>
        <v>46126</v>
      </c>
      <c r="B87" s="21" t="s">
        <v>55</v>
      </c>
      <c r="C87" s="22">
        <v>1164264</v>
      </c>
      <c r="D87" s="21" t="s">
        <v>9</v>
      </c>
      <c r="E87" s="23">
        <v>46126</v>
      </c>
      <c r="F87" s="10">
        <f t="shared" ca="1" si="9"/>
        <v>2</v>
      </c>
      <c r="G87" s="23"/>
      <c r="H87" s="10">
        <f t="shared" ca="1" si="10"/>
        <v>0</v>
      </c>
      <c r="I87" s="3" t="s">
        <v>92</v>
      </c>
      <c r="J87" s="11">
        <v>303</v>
      </c>
      <c r="K87" s="12" t="s">
        <v>94</v>
      </c>
      <c r="L87" s="12" t="s">
        <v>31</v>
      </c>
      <c r="M87" s="12" t="s">
        <v>95</v>
      </c>
      <c r="N87" s="21" t="s">
        <v>74</v>
      </c>
      <c r="O87" s="4" t="s">
        <v>219</v>
      </c>
      <c r="P87" s="3" t="s">
        <v>219</v>
      </c>
      <c r="Q87" s="4" t="s">
        <v>219</v>
      </c>
      <c r="R87" s="3" t="s">
        <v>219</v>
      </c>
      <c r="S87" s="3" t="s">
        <v>219</v>
      </c>
      <c r="T87" s="12" t="s">
        <v>35</v>
      </c>
      <c r="U87" s="4" t="s">
        <v>219</v>
      </c>
      <c r="V87" s="3" t="s">
        <v>219</v>
      </c>
      <c r="W87" s="3" t="s">
        <v>219</v>
      </c>
      <c r="X87" s="3" t="s">
        <v>219</v>
      </c>
      <c r="Y87" s="3" t="s">
        <v>219</v>
      </c>
      <c r="Z87" s="11">
        <v>0</v>
      </c>
      <c r="AA87" s="11">
        <f t="shared" si="11"/>
        <v>303</v>
      </c>
      <c r="AB87" s="24"/>
    </row>
    <row r="88" spans="1:28" x14ac:dyDescent="0.3">
      <c r="A88" s="10">
        <f t="shared" si="8"/>
        <v>46126</v>
      </c>
      <c r="B88" s="21" t="s">
        <v>55</v>
      </c>
      <c r="C88" s="22">
        <v>1164279</v>
      </c>
      <c r="D88" s="21" t="s">
        <v>10</v>
      </c>
      <c r="E88" s="23">
        <v>46126</v>
      </c>
      <c r="F88" s="10">
        <f t="shared" ca="1" si="9"/>
        <v>2</v>
      </c>
      <c r="G88" s="23"/>
      <c r="H88" s="10">
        <f t="shared" ca="1" si="10"/>
        <v>0</v>
      </c>
      <c r="I88" s="3" t="s">
        <v>92</v>
      </c>
      <c r="J88" s="11">
        <v>501</v>
      </c>
      <c r="K88" s="12" t="s">
        <v>94</v>
      </c>
      <c r="L88" s="12" t="s">
        <v>31</v>
      </c>
      <c r="M88" s="12" t="s">
        <v>95</v>
      </c>
      <c r="N88" s="21" t="s">
        <v>74</v>
      </c>
      <c r="O88" s="4" t="s">
        <v>219</v>
      </c>
      <c r="P88" s="3" t="s">
        <v>219</v>
      </c>
      <c r="Q88" s="4" t="s">
        <v>219</v>
      </c>
      <c r="R88" s="3" t="s">
        <v>219</v>
      </c>
      <c r="S88" s="3" t="s">
        <v>219</v>
      </c>
      <c r="T88" s="12" t="s">
        <v>35</v>
      </c>
      <c r="U88" s="4" t="s">
        <v>219</v>
      </c>
      <c r="V88" s="3" t="s">
        <v>219</v>
      </c>
      <c r="W88" s="3" t="s">
        <v>219</v>
      </c>
      <c r="X88" s="3" t="s">
        <v>219</v>
      </c>
      <c r="Y88" s="3" t="s">
        <v>219</v>
      </c>
      <c r="Z88" s="11">
        <v>0</v>
      </c>
      <c r="AA88" s="11">
        <f t="shared" si="11"/>
        <v>501</v>
      </c>
      <c r="AB88" s="24"/>
    </row>
    <row r="89" spans="1:28" x14ac:dyDescent="0.3">
      <c r="A89" s="10">
        <f t="shared" si="8"/>
        <v>46126</v>
      </c>
      <c r="B89" s="21" t="s">
        <v>33</v>
      </c>
      <c r="C89" s="22">
        <v>1164695</v>
      </c>
      <c r="D89" s="21" t="s">
        <v>44</v>
      </c>
      <c r="E89" s="23">
        <v>46126</v>
      </c>
      <c r="F89" s="10">
        <f t="shared" ca="1" si="9"/>
        <v>2</v>
      </c>
      <c r="G89" s="23"/>
      <c r="H89" s="10">
        <f t="shared" ca="1" si="10"/>
        <v>0</v>
      </c>
      <c r="I89" s="3"/>
      <c r="J89" s="11"/>
      <c r="K89" s="12" t="s">
        <v>94</v>
      </c>
      <c r="L89" s="12" t="s">
        <v>98</v>
      </c>
      <c r="M89" s="12"/>
      <c r="N89" s="21"/>
      <c r="O89" s="4" t="s">
        <v>219</v>
      </c>
      <c r="P89" s="3" t="s">
        <v>219</v>
      </c>
      <c r="Q89" s="4" t="s">
        <v>219</v>
      </c>
      <c r="R89" s="3" t="s">
        <v>219</v>
      </c>
      <c r="S89" s="3" t="s">
        <v>219</v>
      </c>
      <c r="T89" s="12" t="s">
        <v>101</v>
      </c>
      <c r="U89" s="4" t="s">
        <v>219</v>
      </c>
      <c r="V89" s="3" t="s">
        <v>219</v>
      </c>
      <c r="W89" s="3" t="s">
        <v>219</v>
      </c>
      <c r="X89" s="3" t="s">
        <v>219</v>
      </c>
      <c r="Y89" s="3" t="s">
        <v>219</v>
      </c>
      <c r="Z89" s="11">
        <v>0</v>
      </c>
      <c r="AA89" s="11">
        <f t="shared" si="11"/>
        <v>0</v>
      </c>
      <c r="AB89" s="24"/>
    </row>
    <row r="90" spans="1:28" x14ac:dyDescent="0.3">
      <c r="A90" s="10">
        <f t="shared" si="8"/>
        <v>46126</v>
      </c>
      <c r="B90" s="21" t="s">
        <v>34</v>
      </c>
      <c r="C90" s="22">
        <v>1166043</v>
      </c>
      <c r="D90" s="21" t="s">
        <v>10</v>
      </c>
      <c r="E90" s="23">
        <v>46126</v>
      </c>
      <c r="F90" s="10">
        <f t="shared" ca="1" si="9"/>
        <v>2</v>
      </c>
      <c r="G90" s="23"/>
      <c r="H90" s="10">
        <f t="shared" ca="1" si="10"/>
        <v>0</v>
      </c>
      <c r="I90" s="3"/>
      <c r="J90" s="11"/>
      <c r="K90" s="12" t="s">
        <v>94</v>
      </c>
      <c r="L90" s="12" t="s">
        <v>31</v>
      </c>
      <c r="M90" s="12"/>
      <c r="N90" s="21"/>
      <c r="O90" s="4" t="s">
        <v>219</v>
      </c>
      <c r="P90" s="3" t="s">
        <v>219</v>
      </c>
      <c r="Q90" s="4" t="s">
        <v>219</v>
      </c>
      <c r="R90" s="3" t="s">
        <v>219</v>
      </c>
      <c r="S90" s="3" t="s">
        <v>219</v>
      </c>
      <c r="T90" s="12" t="s">
        <v>101</v>
      </c>
      <c r="U90" s="4" t="s">
        <v>219</v>
      </c>
      <c r="V90" s="3" t="s">
        <v>219</v>
      </c>
      <c r="W90" s="3" t="s">
        <v>219</v>
      </c>
      <c r="X90" s="3" t="s">
        <v>219</v>
      </c>
      <c r="Y90" s="3" t="s">
        <v>219</v>
      </c>
      <c r="Z90" s="11">
        <v>0</v>
      </c>
      <c r="AA90" s="11">
        <f t="shared" si="11"/>
        <v>0</v>
      </c>
      <c r="AB90" s="24"/>
    </row>
    <row r="91" spans="1:28" x14ac:dyDescent="0.3">
      <c r="A91" s="10">
        <f t="shared" si="8"/>
        <v>46127</v>
      </c>
      <c r="B91" s="21" t="s">
        <v>53</v>
      </c>
      <c r="C91" s="22">
        <v>1165092</v>
      </c>
      <c r="D91" s="21" t="s">
        <v>44</v>
      </c>
      <c r="E91" s="23">
        <v>46127</v>
      </c>
      <c r="F91" s="10">
        <f t="shared" ca="1" si="9"/>
        <v>2</v>
      </c>
      <c r="G91" s="23"/>
      <c r="H91" s="10">
        <f t="shared" ca="1" si="10"/>
        <v>0</v>
      </c>
      <c r="I91" s="3"/>
      <c r="J91" s="11"/>
      <c r="K91" s="12" t="s">
        <v>94</v>
      </c>
      <c r="L91" s="12" t="s">
        <v>98</v>
      </c>
      <c r="M91" s="12"/>
      <c r="N91" s="21"/>
      <c r="O91" s="4" t="s">
        <v>219</v>
      </c>
      <c r="P91" s="3" t="s">
        <v>219</v>
      </c>
      <c r="Q91" s="4" t="s">
        <v>219</v>
      </c>
      <c r="R91" s="3" t="s">
        <v>219</v>
      </c>
      <c r="S91" s="3" t="s">
        <v>219</v>
      </c>
      <c r="T91" s="12" t="s">
        <v>101</v>
      </c>
      <c r="U91" s="4" t="s">
        <v>219</v>
      </c>
      <c r="V91" s="3" t="s">
        <v>219</v>
      </c>
      <c r="W91" s="3" t="s">
        <v>219</v>
      </c>
      <c r="X91" s="3" t="s">
        <v>219</v>
      </c>
      <c r="Y91" s="3" t="s">
        <v>219</v>
      </c>
      <c r="Z91" s="11">
        <v>0</v>
      </c>
      <c r="AA91" s="11">
        <f t="shared" si="11"/>
        <v>0</v>
      </c>
      <c r="AB91" s="24"/>
    </row>
    <row r="92" spans="1:28" x14ac:dyDescent="0.3">
      <c r="A92" s="10">
        <f t="shared" si="8"/>
        <v>46127</v>
      </c>
      <c r="B92" s="21" t="s">
        <v>136</v>
      </c>
      <c r="C92" s="22">
        <v>1165126</v>
      </c>
      <c r="D92" s="21" t="s">
        <v>171</v>
      </c>
      <c r="E92" s="23">
        <v>46127</v>
      </c>
      <c r="F92" s="10">
        <f t="shared" ca="1" si="9"/>
        <v>2</v>
      </c>
      <c r="G92" s="23"/>
      <c r="H92" s="10">
        <f t="shared" ca="1" si="10"/>
        <v>0</v>
      </c>
      <c r="I92" s="3"/>
      <c r="J92" s="11"/>
      <c r="K92" s="12" t="s">
        <v>94</v>
      </c>
      <c r="L92" s="12" t="s">
        <v>98</v>
      </c>
      <c r="M92" s="12"/>
      <c r="N92" s="21"/>
      <c r="O92" s="4" t="s">
        <v>219</v>
      </c>
      <c r="P92" s="3" t="s">
        <v>219</v>
      </c>
      <c r="Q92" s="4" t="s">
        <v>219</v>
      </c>
      <c r="R92" s="3" t="s">
        <v>219</v>
      </c>
      <c r="S92" s="3" t="s">
        <v>219</v>
      </c>
      <c r="T92" s="12" t="s">
        <v>101</v>
      </c>
      <c r="U92" s="4" t="s">
        <v>219</v>
      </c>
      <c r="V92" s="3" t="s">
        <v>219</v>
      </c>
      <c r="W92" s="3" t="s">
        <v>219</v>
      </c>
      <c r="X92" s="3" t="s">
        <v>219</v>
      </c>
      <c r="Y92" s="3" t="s">
        <v>219</v>
      </c>
      <c r="Z92" s="11">
        <v>0</v>
      </c>
      <c r="AA92" s="11">
        <f t="shared" si="11"/>
        <v>0</v>
      </c>
      <c r="AB92" s="24"/>
    </row>
    <row r="93" spans="1:28" x14ac:dyDescent="0.3">
      <c r="A93" s="10">
        <f t="shared" si="8"/>
        <v>46127</v>
      </c>
      <c r="B93" s="21" t="s">
        <v>36</v>
      </c>
      <c r="C93" s="22">
        <v>1165264</v>
      </c>
      <c r="D93" s="21" t="s">
        <v>9</v>
      </c>
      <c r="E93" s="23">
        <v>46127</v>
      </c>
      <c r="F93" s="10">
        <f t="shared" ca="1" si="9"/>
        <v>2</v>
      </c>
      <c r="G93" s="23"/>
      <c r="H93" s="10">
        <f t="shared" ca="1" si="10"/>
        <v>0</v>
      </c>
      <c r="I93" s="3"/>
      <c r="J93" s="11"/>
      <c r="K93" s="12" t="s">
        <v>94</v>
      </c>
      <c r="L93" s="12" t="s">
        <v>98</v>
      </c>
      <c r="M93" s="12"/>
      <c r="N93" s="21"/>
      <c r="O93" s="4" t="s">
        <v>219</v>
      </c>
      <c r="P93" s="3" t="s">
        <v>219</v>
      </c>
      <c r="Q93" s="4" t="s">
        <v>219</v>
      </c>
      <c r="R93" s="3" t="s">
        <v>219</v>
      </c>
      <c r="S93" s="3" t="s">
        <v>219</v>
      </c>
      <c r="T93" s="12" t="s">
        <v>101</v>
      </c>
      <c r="U93" s="4" t="s">
        <v>219</v>
      </c>
      <c r="V93" s="3" t="s">
        <v>219</v>
      </c>
      <c r="W93" s="3" t="s">
        <v>219</v>
      </c>
      <c r="X93" s="3" t="s">
        <v>219</v>
      </c>
      <c r="Y93" s="3" t="s">
        <v>219</v>
      </c>
      <c r="Z93" s="11">
        <v>0</v>
      </c>
      <c r="AA93" s="11">
        <f t="shared" si="11"/>
        <v>0</v>
      </c>
      <c r="AB93" s="24"/>
    </row>
    <row r="94" spans="1:28" x14ac:dyDescent="0.3">
      <c r="A94" s="10">
        <f t="shared" si="8"/>
        <v>46127</v>
      </c>
      <c r="B94" s="21" t="s">
        <v>150</v>
      </c>
      <c r="C94" s="22">
        <v>1165267</v>
      </c>
      <c r="D94" s="21" t="s">
        <v>12</v>
      </c>
      <c r="E94" s="23">
        <v>46127</v>
      </c>
      <c r="F94" s="10">
        <f t="shared" ca="1" si="9"/>
        <v>2</v>
      </c>
      <c r="G94" s="23"/>
      <c r="H94" s="10">
        <f t="shared" ca="1" si="10"/>
        <v>0</v>
      </c>
      <c r="I94" s="3"/>
      <c r="J94" s="11"/>
      <c r="K94" s="12" t="s">
        <v>94</v>
      </c>
      <c r="L94" s="12" t="s">
        <v>98</v>
      </c>
      <c r="M94" s="12"/>
      <c r="N94" s="21"/>
      <c r="O94" s="4" t="s">
        <v>219</v>
      </c>
      <c r="P94" s="3" t="s">
        <v>219</v>
      </c>
      <c r="Q94" s="4" t="s">
        <v>219</v>
      </c>
      <c r="R94" s="3" t="s">
        <v>219</v>
      </c>
      <c r="S94" s="3" t="s">
        <v>219</v>
      </c>
      <c r="T94" s="12" t="s">
        <v>101</v>
      </c>
      <c r="U94" s="4" t="s">
        <v>219</v>
      </c>
      <c r="V94" s="3" t="s">
        <v>219</v>
      </c>
      <c r="W94" s="3" t="s">
        <v>219</v>
      </c>
      <c r="X94" s="3" t="s">
        <v>219</v>
      </c>
      <c r="Y94" s="3" t="s">
        <v>219</v>
      </c>
      <c r="Z94" s="11">
        <v>0</v>
      </c>
      <c r="AA94" s="11">
        <f t="shared" si="11"/>
        <v>0</v>
      </c>
      <c r="AB94" s="24"/>
    </row>
    <row r="95" spans="1:28" x14ac:dyDescent="0.3">
      <c r="A95" s="10">
        <f t="shared" si="8"/>
        <v>46127</v>
      </c>
      <c r="B95" s="21" t="s">
        <v>122</v>
      </c>
      <c r="C95" s="22">
        <v>1165904</v>
      </c>
      <c r="D95" s="21" t="s">
        <v>11</v>
      </c>
      <c r="E95" s="23">
        <v>46127</v>
      </c>
      <c r="F95" s="10">
        <f t="shared" ca="1" si="9"/>
        <v>2</v>
      </c>
      <c r="G95" s="23"/>
      <c r="H95" s="10">
        <f t="shared" ca="1" si="10"/>
        <v>0</v>
      </c>
      <c r="I95" s="3"/>
      <c r="J95" s="11"/>
      <c r="K95" s="12" t="s">
        <v>94</v>
      </c>
      <c r="L95" s="12" t="s">
        <v>98</v>
      </c>
      <c r="M95" s="12"/>
      <c r="N95" s="21"/>
      <c r="O95" s="4" t="s">
        <v>219</v>
      </c>
      <c r="P95" s="3" t="s">
        <v>219</v>
      </c>
      <c r="Q95" s="4" t="s">
        <v>219</v>
      </c>
      <c r="R95" s="3" t="s">
        <v>219</v>
      </c>
      <c r="S95" s="3" t="s">
        <v>219</v>
      </c>
      <c r="T95" s="12" t="s">
        <v>101</v>
      </c>
      <c r="U95" s="4" t="s">
        <v>219</v>
      </c>
      <c r="V95" s="3" t="s">
        <v>219</v>
      </c>
      <c r="W95" s="3" t="s">
        <v>219</v>
      </c>
      <c r="X95" s="3" t="s">
        <v>219</v>
      </c>
      <c r="Y95" s="3" t="s">
        <v>219</v>
      </c>
      <c r="Z95" s="11">
        <v>0</v>
      </c>
      <c r="AA95" s="11">
        <f t="shared" si="11"/>
        <v>0</v>
      </c>
      <c r="AB95" s="24"/>
    </row>
    <row r="96" spans="1:28" x14ac:dyDescent="0.3">
      <c r="A96" s="10">
        <f t="shared" si="8"/>
        <v>46127</v>
      </c>
      <c r="B96" s="21" t="s">
        <v>122</v>
      </c>
      <c r="C96" s="22">
        <v>1165916</v>
      </c>
      <c r="D96" s="21" t="s">
        <v>10</v>
      </c>
      <c r="E96" s="23">
        <v>46127</v>
      </c>
      <c r="F96" s="10">
        <f t="shared" ca="1" si="9"/>
        <v>2</v>
      </c>
      <c r="G96" s="23"/>
      <c r="H96" s="10">
        <f t="shared" ca="1" si="10"/>
        <v>0</v>
      </c>
      <c r="I96" s="3"/>
      <c r="J96" s="11"/>
      <c r="K96" s="12" t="s">
        <v>94</v>
      </c>
      <c r="L96" s="12" t="s">
        <v>98</v>
      </c>
      <c r="M96" s="12"/>
      <c r="N96" s="21"/>
      <c r="O96" s="4" t="s">
        <v>219</v>
      </c>
      <c r="P96" s="3" t="s">
        <v>219</v>
      </c>
      <c r="Q96" s="4" t="s">
        <v>219</v>
      </c>
      <c r="R96" s="3" t="s">
        <v>219</v>
      </c>
      <c r="S96" s="3" t="s">
        <v>219</v>
      </c>
      <c r="T96" s="12" t="s">
        <v>101</v>
      </c>
      <c r="U96" s="4" t="s">
        <v>219</v>
      </c>
      <c r="V96" s="3" t="s">
        <v>219</v>
      </c>
      <c r="W96" s="3" t="s">
        <v>219</v>
      </c>
      <c r="X96" s="3" t="s">
        <v>219</v>
      </c>
      <c r="Y96" s="3" t="s">
        <v>219</v>
      </c>
      <c r="Z96" s="11">
        <v>0</v>
      </c>
      <c r="AA96" s="11">
        <f t="shared" si="11"/>
        <v>0</v>
      </c>
      <c r="AB96" s="24"/>
    </row>
    <row r="97" spans="1:28" x14ac:dyDescent="0.3">
      <c r="A97" s="10">
        <f t="shared" si="8"/>
        <v>46128</v>
      </c>
      <c r="B97" s="21" t="s">
        <v>59</v>
      </c>
      <c r="C97" s="22">
        <v>1143450</v>
      </c>
      <c r="D97" s="21" t="s">
        <v>30</v>
      </c>
      <c r="E97" s="23">
        <v>46128</v>
      </c>
      <c r="F97" s="10">
        <f t="shared" ca="1" si="9"/>
        <v>3</v>
      </c>
      <c r="G97" s="23"/>
      <c r="H97" s="10">
        <f t="shared" ca="1" si="10"/>
        <v>0</v>
      </c>
      <c r="I97" s="3" t="s">
        <v>28</v>
      </c>
      <c r="J97" s="11">
        <v>401</v>
      </c>
      <c r="K97" s="12" t="s">
        <v>94</v>
      </c>
      <c r="L97" s="12" t="s">
        <v>31</v>
      </c>
      <c r="M97" s="12" t="s">
        <v>32</v>
      </c>
      <c r="N97" s="21" t="s">
        <v>74</v>
      </c>
      <c r="O97" s="4" t="s">
        <v>219</v>
      </c>
      <c r="P97" s="3" t="s">
        <v>219</v>
      </c>
      <c r="Q97" s="4" t="s">
        <v>219</v>
      </c>
      <c r="R97" s="3" t="s">
        <v>219</v>
      </c>
      <c r="S97" s="3" t="s">
        <v>219</v>
      </c>
      <c r="T97" s="12" t="s">
        <v>35</v>
      </c>
      <c r="U97" s="4" t="s">
        <v>219</v>
      </c>
      <c r="V97" s="3" t="s">
        <v>219</v>
      </c>
      <c r="W97" s="3" t="s">
        <v>219</v>
      </c>
      <c r="X97" s="3" t="s">
        <v>219</v>
      </c>
      <c r="Y97" s="3" t="s">
        <v>219</v>
      </c>
      <c r="Z97" s="11">
        <v>0</v>
      </c>
      <c r="AA97" s="11">
        <f t="shared" si="11"/>
        <v>401</v>
      </c>
      <c r="AB97" s="24" t="s">
        <v>110</v>
      </c>
    </row>
    <row r="98" spans="1:28" x14ac:dyDescent="0.3">
      <c r="A98" s="10">
        <f t="shared" ref="A98:A129" si="12">E98-G98</f>
        <v>46128</v>
      </c>
      <c r="B98" s="21" t="s">
        <v>124</v>
      </c>
      <c r="C98" s="22">
        <v>1166557</v>
      </c>
      <c r="D98" s="21" t="s">
        <v>44</v>
      </c>
      <c r="E98" s="23">
        <v>46128</v>
      </c>
      <c r="F98" s="10">
        <f t="shared" ref="F98:F129" ca="1" si="13">IF(AND(E98&gt;=TODAY(),E98&lt;=TODAY()+5),1,IF(AND(E98&gt;TODAY()+1,E98&lt;=TODAY()+10),2,IF(AND(E98&gt;TODAY()+2,E98&lt;=TODAY()+15),3,IF(AND(E98&gt;TODAY()+3,E98&lt;=TODAY()+365),4,0))))</f>
        <v>3</v>
      </c>
      <c r="G98" s="23"/>
      <c r="H98" s="10">
        <f t="shared" ref="H98:H129" ca="1" si="14">IF(AND(G98&gt;=TODAY(),G98&lt;=TODAY()+5),1,IF(AND(G98&gt;TODAY()+1,G98&lt;=TODAY()+10),2,IF(AND(G98&gt;TODAY()+2,G98&lt;=TODAY()+15),3,IF(AND(G98&gt;TODAY()+3,G98&lt;=TODAY()+365),4,0))))</f>
        <v>0</v>
      </c>
      <c r="I98" s="3"/>
      <c r="J98" s="11"/>
      <c r="K98" s="12" t="s">
        <v>94</v>
      </c>
      <c r="L98" s="12" t="s">
        <v>98</v>
      </c>
      <c r="M98" s="12"/>
      <c r="N98" s="21"/>
      <c r="O98" s="4" t="s">
        <v>219</v>
      </c>
      <c r="P98" s="3" t="s">
        <v>219</v>
      </c>
      <c r="Q98" s="4" t="s">
        <v>219</v>
      </c>
      <c r="R98" s="3" t="s">
        <v>219</v>
      </c>
      <c r="S98" s="3" t="s">
        <v>219</v>
      </c>
      <c r="T98" s="12" t="s">
        <v>101</v>
      </c>
      <c r="U98" s="4" t="s">
        <v>219</v>
      </c>
      <c r="V98" s="3" t="s">
        <v>219</v>
      </c>
      <c r="W98" s="3" t="s">
        <v>219</v>
      </c>
      <c r="X98" s="3" t="s">
        <v>219</v>
      </c>
      <c r="Y98" s="3" t="s">
        <v>219</v>
      </c>
      <c r="Z98" s="11">
        <v>0</v>
      </c>
      <c r="AA98" s="11">
        <f t="shared" ref="AA98:AA129" si="15">J98-Z98</f>
        <v>0</v>
      </c>
      <c r="AB98" s="24"/>
    </row>
    <row r="99" spans="1:28" x14ac:dyDescent="0.3">
      <c r="A99" s="10">
        <f t="shared" si="12"/>
        <v>46128</v>
      </c>
      <c r="B99" s="21" t="s">
        <v>125</v>
      </c>
      <c r="C99" s="22">
        <v>1166565</v>
      </c>
      <c r="D99" s="21" t="s">
        <v>6</v>
      </c>
      <c r="E99" s="23">
        <v>46128</v>
      </c>
      <c r="F99" s="10">
        <f t="shared" ca="1" si="13"/>
        <v>3</v>
      </c>
      <c r="G99" s="23"/>
      <c r="H99" s="10">
        <f t="shared" ca="1" si="14"/>
        <v>0</v>
      </c>
      <c r="I99" s="3"/>
      <c r="J99" s="11"/>
      <c r="K99" s="12" t="s">
        <v>94</v>
      </c>
      <c r="L99" s="12" t="s">
        <v>98</v>
      </c>
      <c r="M99" s="12"/>
      <c r="N99" s="21"/>
      <c r="O99" s="4" t="s">
        <v>219</v>
      </c>
      <c r="P99" s="3" t="s">
        <v>219</v>
      </c>
      <c r="Q99" s="4" t="s">
        <v>219</v>
      </c>
      <c r="R99" s="3" t="s">
        <v>219</v>
      </c>
      <c r="S99" s="3" t="s">
        <v>219</v>
      </c>
      <c r="T99" s="12" t="s">
        <v>101</v>
      </c>
      <c r="U99" s="4" t="s">
        <v>219</v>
      </c>
      <c r="V99" s="3" t="s">
        <v>219</v>
      </c>
      <c r="W99" s="3" t="s">
        <v>219</v>
      </c>
      <c r="X99" s="3" t="s">
        <v>219</v>
      </c>
      <c r="Y99" s="3" t="s">
        <v>219</v>
      </c>
      <c r="Z99" s="11">
        <v>0</v>
      </c>
      <c r="AA99" s="11">
        <f t="shared" si="15"/>
        <v>0</v>
      </c>
      <c r="AB99" s="24"/>
    </row>
    <row r="100" spans="1:28" x14ac:dyDescent="0.3">
      <c r="A100" s="10">
        <f t="shared" si="12"/>
        <v>46128</v>
      </c>
      <c r="B100" s="21" t="s">
        <v>166</v>
      </c>
      <c r="C100" s="22">
        <v>1167233</v>
      </c>
      <c r="D100" s="21" t="s">
        <v>13</v>
      </c>
      <c r="E100" s="23">
        <v>46128</v>
      </c>
      <c r="F100" s="10">
        <f t="shared" ca="1" si="13"/>
        <v>3</v>
      </c>
      <c r="G100" s="23"/>
      <c r="H100" s="10">
        <f t="shared" ca="1" si="14"/>
        <v>0</v>
      </c>
      <c r="I100" s="3"/>
      <c r="J100" s="11"/>
      <c r="K100" s="12" t="s">
        <v>94</v>
      </c>
      <c r="L100" s="12" t="s">
        <v>98</v>
      </c>
      <c r="M100" s="12"/>
      <c r="N100" s="21"/>
      <c r="O100" s="4" t="s">
        <v>219</v>
      </c>
      <c r="P100" s="3" t="s">
        <v>219</v>
      </c>
      <c r="Q100" s="4" t="s">
        <v>219</v>
      </c>
      <c r="R100" s="3" t="s">
        <v>219</v>
      </c>
      <c r="S100" s="3" t="s">
        <v>219</v>
      </c>
      <c r="T100" s="12" t="s">
        <v>101</v>
      </c>
      <c r="U100" s="4" t="s">
        <v>219</v>
      </c>
      <c r="V100" s="3" t="s">
        <v>219</v>
      </c>
      <c r="W100" s="3" t="s">
        <v>219</v>
      </c>
      <c r="X100" s="3" t="s">
        <v>219</v>
      </c>
      <c r="Y100" s="3" t="s">
        <v>219</v>
      </c>
      <c r="Z100" s="11">
        <v>0</v>
      </c>
      <c r="AA100" s="11">
        <f t="shared" si="15"/>
        <v>0</v>
      </c>
      <c r="AB100" s="24"/>
    </row>
    <row r="101" spans="1:28" x14ac:dyDescent="0.3">
      <c r="A101" s="10">
        <f t="shared" si="12"/>
        <v>46129</v>
      </c>
      <c r="B101" s="21" t="s">
        <v>55</v>
      </c>
      <c r="C101" s="22">
        <v>1166048</v>
      </c>
      <c r="D101" s="21" t="s">
        <v>10</v>
      </c>
      <c r="E101" s="23">
        <v>46129</v>
      </c>
      <c r="F101" s="10">
        <f t="shared" ca="1" si="13"/>
        <v>3</v>
      </c>
      <c r="G101" s="23"/>
      <c r="H101" s="10">
        <f t="shared" ca="1" si="14"/>
        <v>0</v>
      </c>
      <c r="I101" s="3" t="s">
        <v>92</v>
      </c>
      <c r="J101" s="11">
        <v>989</v>
      </c>
      <c r="K101" s="12" t="s">
        <v>94</v>
      </c>
      <c r="L101" s="12" t="s">
        <v>31</v>
      </c>
      <c r="M101" s="12" t="s">
        <v>95</v>
      </c>
      <c r="N101" s="21" t="s">
        <v>74</v>
      </c>
      <c r="O101" s="4" t="s">
        <v>219</v>
      </c>
      <c r="P101" s="3" t="s">
        <v>219</v>
      </c>
      <c r="Q101" s="4" t="s">
        <v>219</v>
      </c>
      <c r="R101" s="3" t="s">
        <v>219</v>
      </c>
      <c r="S101" s="3" t="s">
        <v>219</v>
      </c>
      <c r="T101" s="12" t="s">
        <v>35</v>
      </c>
      <c r="U101" s="4" t="s">
        <v>219</v>
      </c>
      <c r="V101" s="3" t="s">
        <v>219</v>
      </c>
      <c r="W101" s="3" t="s">
        <v>219</v>
      </c>
      <c r="X101" s="3" t="s">
        <v>219</v>
      </c>
      <c r="Y101" s="3" t="s">
        <v>219</v>
      </c>
      <c r="Z101" s="11">
        <v>0</v>
      </c>
      <c r="AA101" s="11">
        <f t="shared" si="15"/>
        <v>989</v>
      </c>
      <c r="AB101" s="24"/>
    </row>
    <row r="102" spans="1:28" x14ac:dyDescent="0.3">
      <c r="A102" s="10">
        <f t="shared" si="12"/>
        <v>46129</v>
      </c>
      <c r="B102" s="21" t="s">
        <v>151</v>
      </c>
      <c r="C102" s="22">
        <v>1166354</v>
      </c>
      <c r="D102" s="21" t="s">
        <v>9</v>
      </c>
      <c r="E102" s="23">
        <v>46129</v>
      </c>
      <c r="F102" s="10">
        <f t="shared" ca="1" si="13"/>
        <v>3</v>
      </c>
      <c r="G102" s="23"/>
      <c r="H102" s="10">
        <f t="shared" ca="1" si="14"/>
        <v>0</v>
      </c>
      <c r="I102" s="3"/>
      <c r="J102" s="11"/>
      <c r="K102" s="12" t="s">
        <v>94</v>
      </c>
      <c r="L102" s="12" t="s">
        <v>31</v>
      </c>
      <c r="M102" s="12" t="s">
        <v>63</v>
      </c>
      <c r="N102" s="21"/>
      <c r="O102" s="4" t="s">
        <v>219</v>
      </c>
      <c r="P102" s="3" t="s">
        <v>219</v>
      </c>
      <c r="Q102" s="4" t="s">
        <v>219</v>
      </c>
      <c r="R102" s="3" t="s">
        <v>219</v>
      </c>
      <c r="S102" s="3" t="s">
        <v>219</v>
      </c>
      <c r="T102" s="12" t="s">
        <v>101</v>
      </c>
      <c r="U102" s="4" t="s">
        <v>219</v>
      </c>
      <c r="V102" s="3" t="s">
        <v>219</v>
      </c>
      <c r="W102" s="3" t="s">
        <v>219</v>
      </c>
      <c r="X102" s="3" t="s">
        <v>219</v>
      </c>
      <c r="Y102" s="3" t="s">
        <v>219</v>
      </c>
      <c r="Z102" s="11">
        <v>0</v>
      </c>
      <c r="AA102" s="11">
        <f t="shared" si="15"/>
        <v>0</v>
      </c>
      <c r="AB102" s="24" t="s">
        <v>189</v>
      </c>
    </row>
    <row r="103" spans="1:28" x14ac:dyDescent="0.3">
      <c r="A103" s="10">
        <f t="shared" si="12"/>
        <v>46129</v>
      </c>
      <c r="B103" s="21" t="s">
        <v>151</v>
      </c>
      <c r="C103" s="22">
        <v>1166358</v>
      </c>
      <c r="D103" s="21" t="s">
        <v>10</v>
      </c>
      <c r="E103" s="23">
        <v>46129</v>
      </c>
      <c r="F103" s="10">
        <f t="shared" ca="1" si="13"/>
        <v>3</v>
      </c>
      <c r="G103" s="23"/>
      <c r="H103" s="10">
        <f t="shared" ca="1" si="14"/>
        <v>0</v>
      </c>
      <c r="I103" s="3"/>
      <c r="J103" s="11"/>
      <c r="K103" s="12" t="s">
        <v>94</v>
      </c>
      <c r="L103" s="12" t="s">
        <v>31</v>
      </c>
      <c r="M103" s="12" t="s">
        <v>63</v>
      </c>
      <c r="N103" s="21"/>
      <c r="O103" s="4" t="s">
        <v>219</v>
      </c>
      <c r="P103" s="3" t="s">
        <v>219</v>
      </c>
      <c r="Q103" s="4" t="s">
        <v>219</v>
      </c>
      <c r="R103" s="3" t="s">
        <v>219</v>
      </c>
      <c r="S103" s="3" t="s">
        <v>219</v>
      </c>
      <c r="T103" s="12" t="s">
        <v>101</v>
      </c>
      <c r="U103" s="4" t="s">
        <v>219</v>
      </c>
      <c r="V103" s="3" t="s">
        <v>219</v>
      </c>
      <c r="W103" s="3" t="s">
        <v>219</v>
      </c>
      <c r="X103" s="3" t="s">
        <v>219</v>
      </c>
      <c r="Y103" s="3" t="s">
        <v>219</v>
      </c>
      <c r="Z103" s="11">
        <v>0</v>
      </c>
      <c r="AA103" s="11">
        <f t="shared" si="15"/>
        <v>0</v>
      </c>
      <c r="AB103" s="24" t="s">
        <v>189</v>
      </c>
    </row>
    <row r="104" spans="1:28" x14ac:dyDescent="0.3">
      <c r="A104" s="10">
        <f t="shared" si="12"/>
        <v>46129</v>
      </c>
      <c r="B104" s="21" t="s">
        <v>56</v>
      </c>
      <c r="C104" s="22">
        <v>1166362</v>
      </c>
      <c r="D104" s="21" t="s">
        <v>173</v>
      </c>
      <c r="E104" s="23">
        <v>46129</v>
      </c>
      <c r="F104" s="10">
        <f t="shared" ca="1" si="13"/>
        <v>3</v>
      </c>
      <c r="G104" s="23"/>
      <c r="H104" s="10">
        <f t="shared" ca="1" si="14"/>
        <v>0</v>
      </c>
      <c r="I104" s="3"/>
      <c r="J104" s="11"/>
      <c r="K104" s="12" t="s">
        <v>94</v>
      </c>
      <c r="L104" s="12" t="s">
        <v>31</v>
      </c>
      <c r="M104" s="12"/>
      <c r="N104" s="21"/>
      <c r="O104" s="4" t="s">
        <v>219</v>
      </c>
      <c r="P104" s="3" t="s">
        <v>219</v>
      </c>
      <c r="Q104" s="4" t="s">
        <v>219</v>
      </c>
      <c r="R104" s="3" t="s">
        <v>219</v>
      </c>
      <c r="S104" s="3" t="s">
        <v>219</v>
      </c>
      <c r="T104" s="12" t="s">
        <v>101</v>
      </c>
      <c r="U104" s="4" t="s">
        <v>219</v>
      </c>
      <c r="V104" s="3" t="s">
        <v>219</v>
      </c>
      <c r="W104" s="3" t="s">
        <v>219</v>
      </c>
      <c r="X104" s="3" t="s">
        <v>219</v>
      </c>
      <c r="Y104" s="3" t="s">
        <v>219</v>
      </c>
      <c r="Z104" s="11">
        <v>0</v>
      </c>
      <c r="AA104" s="11">
        <f t="shared" si="15"/>
        <v>0</v>
      </c>
      <c r="AB104" s="24"/>
    </row>
    <row r="105" spans="1:28" x14ac:dyDescent="0.3">
      <c r="A105" s="10">
        <f t="shared" si="12"/>
        <v>46130</v>
      </c>
      <c r="B105" s="21" t="s">
        <v>47</v>
      </c>
      <c r="C105" s="22">
        <v>1143690</v>
      </c>
      <c r="D105" s="21" t="s">
        <v>10</v>
      </c>
      <c r="E105" s="23">
        <v>46130</v>
      </c>
      <c r="F105" s="10">
        <f t="shared" ca="1" si="13"/>
        <v>3</v>
      </c>
      <c r="G105" s="23"/>
      <c r="H105" s="10">
        <f t="shared" ca="1" si="14"/>
        <v>0</v>
      </c>
      <c r="I105" s="3" t="s">
        <v>221</v>
      </c>
      <c r="J105" s="11">
        <v>380</v>
      </c>
      <c r="K105" s="12" t="s">
        <v>94</v>
      </c>
      <c r="L105" s="12" t="s">
        <v>31</v>
      </c>
      <c r="M105" s="12" t="s">
        <v>32</v>
      </c>
      <c r="N105" s="21" t="s">
        <v>74</v>
      </c>
      <c r="O105" s="4" t="s">
        <v>219</v>
      </c>
      <c r="P105" s="3" t="s">
        <v>219</v>
      </c>
      <c r="Q105" s="4" t="s">
        <v>219</v>
      </c>
      <c r="R105" s="3" t="s">
        <v>219</v>
      </c>
      <c r="S105" s="3" t="s">
        <v>219</v>
      </c>
      <c r="T105" s="12" t="s">
        <v>35</v>
      </c>
      <c r="U105" s="4" t="s">
        <v>219</v>
      </c>
      <c r="V105" s="3" t="s">
        <v>219</v>
      </c>
      <c r="W105" s="3" t="s">
        <v>219</v>
      </c>
      <c r="X105" s="3" t="s">
        <v>219</v>
      </c>
      <c r="Y105" s="3" t="s">
        <v>219</v>
      </c>
      <c r="Z105" s="11">
        <v>0</v>
      </c>
      <c r="AA105" s="11">
        <f t="shared" si="15"/>
        <v>380</v>
      </c>
      <c r="AB105" s="24"/>
    </row>
    <row r="106" spans="1:28" x14ac:dyDescent="0.3">
      <c r="A106" s="10">
        <f t="shared" si="12"/>
        <v>46130</v>
      </c>
      <c r="B106" s="21" t="s">
        <v>47</v>
      </c>
      <c r="C106" s="22">
        <v>1144786</v>
      </c>
      <c r="D106" s="21" t="s">
        <v>13</v>
      </c>
      <c r="E106" s="23">
        <v>46130</v>
      </c>
      <c r="F106" s="10">
        <f t="shared" ca="1" si="13"/>
        <v>3</v>
      </c>
      <c r="G106" s="23"/>
      <c r="H106" s="10">
        <f t="shared" ca="1" si="14"/>
        <v>0</v>
      </c>
      <c r="I106" s="3"/>
      <c r="J106" s="11"/>
      <c r="K106" s="12" t="s">
        <v>94</v>
      </c>
      <c r="L106" s="12" t="s">
        <v>31</v>
      </c>
      <c r="M106" s="12" t="s">
        <v>63</v>
      </c>
      <c r="N106" s="21"/>
      <c r="O106" s="4" t="s">
        <v>219</v>
      </c>
      <c r="P106" s="3" t="s">
        <v>219</v>
      </c>
      <c r="Q106" s="4" t="s">
        <v>219</v>
      </c>
      <c r="R106" s="3" t="s">
        <v>219</v>
      </c>
      <c r="S106" s="3" t="s">
        <v>219</v>
      </c>
      <c r="T106" s="12" t="s">
        <v>101</v>
      </c>
      <c r="U106" s="4" t="s">
        <v>219</v>
      </c>
      <c r="V106" s="3" t="s">
        <v>219</v>
      </c>
      <c r="W106" s="3" t="s">
        <v>219</v>
      </c>
      <c r="X106" s="3" t="s">
        <v>219</v>
      </c>
      <c r="Y106" s="3" t="s">
        <v>219</v>
      </c>
      <c r="Z106" s="11">
        <v>0</v>
      </c>
      <c r="AA106" s="11">
        <f t="shared" si="15"/>
        <v>0</v>
      </c>
      <c r="AB106" s="24" t="s">
        <v>88</v>
      </c>
    </row>
    <row r="107" spans="1:28" x14ac:dyDescent="0.3">
      <c r="A107" s="10">
        <f t="shared" si="12"/>
        <v>46130</v>
      </c>
      <c r="B107" s="21" t="s">
        <v>69</v>
      </c>
      <c r="C107" s="22">
        <v>1153760</v>
      </c>
      <c r="D107" s="21" t="s">
        <v>10</v>
      </c>
      <c r="E107" s="23">
        <v>46130</v>
      </c>
      <c r="F107" s="10">
        <f t="shared" ca="1" si="13"/>
        <v>3</v>
      </c>
      <c r="G107" s="23"/>
      <c r="H107" s="10">
        <f t="shared" ca="1" si="14"/>
        <v>0</v>
      </c>
      <c r="I107" s="3"/>
      <c r="J107" s="11"/>
      <c r="K107" s="12" t="s">
        <v>94</v>
      </c>
      <c r="L107" s="12" t="s">
        <v>98</v>
      </c>
      <c r="M107" s="12" t="s">
        <v>175</v>
      </c>
      <c r="N107" s="21"/>
      <c r="O107" s="4" t="s">
        <v>219</v>
      </c>
      <c r="P107" s="3" t="s">
        <v>219</v>
      </c>
      <c r="Q107" s="4" t="s">
        <v>219</v>
      </c>
      <c r="R107" s="3" t="s">
        <v>219</v>
      </c>
      <c r="S107" s="3" t="s">
        <v>219</v>
      </c>
      <c r="T107" s="12" t="s">
        <v>101</v>
      </c>
      <c r="U107" s="4" t="s">
        <v>219</v>
      </c>
      <c r="V107" s="3" t="s">
        <v>219</v>
      </c>
      <c r="W107" s="3" t="s">
        <v>219</v>
      </c>
      <c r="X107" s="3" t="s">
        <v>219</v>
      </c>
      <c r="Y107" s="3" t="s">
        <v>219</v>
      </c>
      <c r="Z107" s="11">
        <v>0</v>
      </c>
      <c r="AA107" s="11">
        <f t="shared" si="15"/>
        <v>0</v>
      </c>
      <c r="AB107" s="24"/>
    </row>
    <row r="108" spans="1:28" x14ac:dyDescent="0.3">
      <c r="A108" s="10">
        <f t="shared" si="12"/>
        <v>46130</v>
      </c>
      <c r="B108" s="21" t="s">
        <v>212</v>
      </c>
      <c r="C108" s="22">
        <v>1168142</v>
      </c>
      <c r="D108" s="21" t="s">
        <v>216</v>
      </c>
      <c r="E108" s="23">
        <v>46130</v>
      </c>
      <c r="F108" s="10">
        <f t="shared" ca="1" si="13"/>
        <v>3</v>
      </c>
      <c r="G108" s="23"/>
      <c r="H108" s="10">
        <f t="shared" ca="1" si="14"/>
        <v>0</v>
      </c>
      <c r="I108" s="3"/>
      <c r="J108" s="11"/>
      <c r="K108" s="12" t="s">
        <v>94</v>
      </c>
      <c r="L108" s="12" t="s">
        <v>98</v>
      </c>
      <c r="M108" s="12"/>
      <c r="N108" s="21"/>
      <c r="O108" s="4" t="s">
        <v>219</v>
      </c>
      <c r="P108" s="3" t="s">
        <v>219</v>
      </c>
      <c r="Q108" s="4" t="s">
        <v>219</v>
      </c>
      <c r="R108" s="3" t="s">
        <v>219</v>
      </c>
      <c r="S108" s="3" t="s">
        <v>219</v>
      </c>
      <c r="T108" s="12" t="s">
        <v>101</v>
      </c>
      <c r="U108" s="4" t="s">
        <v>219</v>
      </c>
      <c r="V108" s="3" t="s">
        <v>219</v>
      </c>
      <c r="W108" s="3" t="s">
        <v>219</v>
      </c>
      <c r="X108" s="3" t="s">
        <v>219</v>
      </c>
      <c r="Y108" s="3" t="s">
        <v>219</v>
      </c>
      <c r="Z108" s="11">
        <v>0</v>
      </c>
      <c r="AA108" s="11">
        <f t="shared" si="15"/>
        <v>0</v>
      </c>
      <c r="AB108" s="24"/>
    </row>
    <row r="109" spans="1:28" x14ac:dyDescent="0.3">
      <c r="A109" s="10">
        <f t="shared" si="12"/>
        <v>46130</v>
      </c>
      <c r="B109" s="21" t="s">
        <v>46</v>
      </c>
      <c r="C109" s="22">
        <v>1168141</v>
      </c>
      <c r="D109" s="21" t="s">
        <v>10</v>
      </c>
      <c r="E109" s="23">
        <v>46130</v>
      </c>
      <c r="F109" s="10">
        <f t="shared" ca="1" si="13"/>
        <v>3</v>
      </c>
      <c r="G109" s="23"/>
      <c r="H109" s="10">
        <f t="shared" ca="1" si="14"/>
        <v>0</v>
      </c>
      <c r="I109" s="3"/>
      <c r="J109" s="11"/>
      <c r="K109" s="12" t="s">
        <v>94</v>
      </c>
      <c r="L109" s="12" t="s">
        <v>98</v>
      </c>
      <c r="M109" s="12"/>
      <c r="N109" s="21"/>
      <c r="O109" s="4" t="s">
        <v>219</v>
      </c>
      <c r="P109" s="3" t="s">
        <v>219</v>
      </c>
      <c r="Q109" s="4" t="s">
        <v>219</v>
      </c>
      <c r="R109" s="3" t="s">
        <v>219</v>
      </c>
      <c r="S109" s="3" t="s">
        <v>219</v>
      </c>
      <c r="T109" s="12" t="s">
        <v>101</v>
      </c>
      <c r="U109" s="4" t="s">
        <v>219</v>
      </c>
      <c r="V109" s="3" t="s">
        <v>219</v>
      </c>
      <c r="W109" s="3" t="s">
        <v>219</v>
      </c>
      <c r="X109" s="3" t="s">
        <v>219</v>
      </c>
      <c r="Y109" s="3" t="s">
        <v>219</v>
      </c>
      <c r="Z109" s="11">
        <v>0</v>
      </c>
      <c r="AA109" s="11">
        <f t="shared" si="15"/>
        <v>0</v>
      </c>
      <c r="AB109" s="24"/>
    </row>
    <row r="110" spans="1:28" x14ac:dyDescent="0.3">
      <c r="A110" s="10">
        <f t="shared" si="12"/>
        <v>46132</v>
      </c>
      <c r="B110" s="21" t="s">
        <v>62</v>
      </c>
      <c r="C110" s="22">
        <v>1133447</v>
      </c>
      <c r="D110" s="21" t="s">
        <v>57</v>
      </c>
      <c r="E110" s="23">
        <v>46132</v>
      </c>
      <c r="F110" s="10">
        <f t="shared" ca="1" si="13"/>
        <v>3</v>
      </c>
      <c r="G110" s="23"/>
      <c r="H110" s="10">
        <f t="shared" ca="1" si="14"/>
        <v>0</v>
      </c>
      <c r="I110" s="3"/>
      <c r="J110" s="11"/>
      <c r="K110" s="12" t="s">
        <v>94</v>
      </c>
      <c r="L110" s="12" t="s">
        <v>98</v>
      </c>
      <c r="M110" s="12" t="s">
        <v>63</v>
      </c>
      <c r="N110" s="21"/>
      <c r="O110" s="4" t="s">
        <v>219</v>
      </c>
      <c r="P110" s="3" t="s">
        <v>219</v>
      </c>
      <c r="Q110" s="4" t="s">
        <v>219</v>
      </c>
      <c r="R110" s="3" t="s">
        <v>219</v>
      </c>
      <c r="S110" s="3" t="s">
        <v>219</v>
      </c>
      <c r="T110" s="12" t="s">
        <v>101</v>
      </c>
      <c r="U110" s="4" t="s">
        <v>219</v>
      </c>
      <c r="V110" s="3" t="s">
        <v>219</v>
      </c>
      <c r="W110" s="3" t="s">
        <v>219</v>
      </c>
      <c r="X110" s="3" t="s">
        <v>219</v>
      </c>
      <c r="Y110" s="3" t="s">
        <v>219</v>
      </c>
      <c r="Z110" s="11">
        <v>0</v>
      </c>
      <c r="AA110" s="11">
        <f t="shared" si="15"/>
        <v>0</v>
      </c>
      <c r="AB110" s="24"/>
    </row>
    <row r="111" spans="1:28" x14ac:dyDescent="0.3">
      <c r="A111" s="10">
        <f t="shared" si="12"/>
        <v>46132</v>
      </c>
      <c r="B111" s="21" t="s">
        <v>137</v>
      </c>
      <c r="C111" s="22">
        <v>1133448</v>
      </c>
      <c r="D111" s="21" t="s">
        <v>172</v>
      </c>
      <c r="E111" s="23">
        <v>46132</v>
      </c>
      <c r="F111" s="10">
        <f t="shared" ca="1" si="13"/>
        <v>3</v>
      </c>
      <c r="G111" s="23"/>
      <c r="H111" s="10">
        <f t="shared" ca="1" si="14"/>
        <v>0</v>
      </c>
      <c r="I111" s="3"/>
      <c r="J111" s="11"/>
      <c r="K111" s="12" t="s">
        <v>94</v>
      </c>
      <c r="L111" s="12" t="s">
        <v>98</v>
      </c>
      <c r="M111" s="12"/>
      <c r="N111" s="21"/>
      <c r="O111" s="4" t="s">
        <v>219</v>
      </c>
      <c r="P111" s="3" t="s">
        <v>219</v>
      </c>
      <c r="Q111" s="4" t="s">
        <v>219</v>
      </c>
      <c r="R111" s="3" t="s">
        <v>219</v>
      </c>
      <c r="S111" s="3" t="s">
        <v>219</v>
      </c>
      <c r="T111" s="12" t="s">
        <v>101</v>
      </c>
      <c r="U111" s="4" t="s">
        <v>219</v>
      </c>
      <c r="V111" s="3" t="s">
        <v>219</v>
      </c>
      <c r="W111" s="3" t="s">
        <v>219</v>
      </c>
      <c r="X111" s="3" t="s">
        <v>219</v>
      </c>
      <c r="Y111" s="3" t="s">
        <v>219</v>
      </c>
      <c r="Z111" s="11">
        <v>0</v>
      </c>
      <c r="AA111" s="11">
        <f t="shared" si="15"/>
        <v>0</v>
      </c>
      <c r="AB111" s="24"/>
    </row>
    <row r="112" spans="1:28" x14ac:dyDescent="0.3">
      <c r="A112" s="10">
        <f t="shared" si="12"/>
        <v>46132</v>
      </c>
      <c r="B112" s="21" t="s">
        <v>137</v>
      </c>
      <c r="C112" s="22">
        <v>1133449</v>
      </c>
      <c r="D112" s="21" t="s">
        <v>57</v>
      </c>
      <c r="E112" s="23">
        <v>46132</v>
      </c>
      <c r="F112" s="10">
        <f t="shared" ca="1" si="13"/>
        <v>3</v>
      </c>
      <c r="G112" s="23"/>
      <c r="H112" s="10">
        <f t="shared" ca="1" si="14"/>
        <v>0</v>
      </c>
      <c r="I112" s="3"/>
      <c r="J112" s="11"/>
      <c r="K112" s="12" t="s">
        <v>94</v>
      </c>
      <c r="L112" s="12" t="s">
        <v>98</v>
      </c>
      <c r="M112" s="12"/>
      <c r="N112" s="21"/>
      <c r="O112" s="4" t="s">
        <v>219</v>
      </c>
      <c r="P112" s="3" t="s">
        <v>219</v>
      </c>
      <c r="Q112" s="4" t="s">
        <v>219</v>
      </c>
      <c r="R112" s="3" t="s">
        <v>219</v>
      </c>
      <c r="S112" s="3" t="s">
        <v>219</v>
      </c>
      <c r="T112" s="12" t="s">
        <v>101</v>
      </c>
      <c r="U112" s="4" t="s">
        <v>219</v>
      </c>
      <c r="V112" s="3" t="s">
        <v>219</v>
      </c>
      <c r="W112" s="3" t="s">
        <v>219</v>
      </c>
      <c r="X112" s="3" t="s">
        <v>219</v>
      </c>
      <c r="Y112" s="3" t="s">
        <v>219</v>
      </c>
      <c r="Z112" s="11">
        <v>0</v>
      </c>
      <c r="AA112" s="11">
        <f t="shared" si="15"/>
        <v>0</v>
      </c>
      <c r="AB112" s="24"/>
    </row>
    <row r="113" spans="1:28" x14ac:dyDescent="0.3">
      <c r="A113" s="10">
        <f t="shared" si="12"/>
        <v>46132</v>
      </c>
      <c r="B113" s="21" t="s">
        <v>61</v>
      </c>
      <c r="C113" s="22">
        <v>1133628</v>
      </c>
      <c r="D113" s="21" t="s">
        <v>30</v>
      </c>
      <c r="E113" s="23">
        <v>46132</v>
      </c>
      <c r="F113" s="10">
        <f t="shared" ca="1" si="13"/>
        <v>3</v>
      </c>
      <c r="G113" s="23"/>
      <c r="H113" s="10">
        <f t="shared" ca="1" si="14"/>
        <v>0</v>
      </c>
      <c r="I113" s="3"/>
      <c r="J113" s="11"/>
      <c r="K113" s="12" t="s">
        <v>94</v>
      </c>
      <c r="L113" s="12" t="s">
        <v>98</v>
      </c>
      <c r="M113" s="12" t="s">
        <v>175</v>
      </c>
      <c r="N113" s="21"/>
      <c r="O113" s="4" t="s">
        <v>219</v>
      </c>
      <c r="P113" s="3" t="s">
        <v>219</v>
      </c>
      <c r="Q113" s="4" t="s">
        <v>219</v>
      </c>
      <c r="R113" s="3" t="s">
        <v>219</v>
      </c>
      <c r="S113" s="3" t="s">
        <v>219</v>
      </c>
      <c r="T113" s="12" t="s">
        <v>101</v>
      </c>
      <c r="U113" s="4" t="s">
        <v>219</v>
      </c>
      <c r="V113" s="3" t="s">
        <v>219</v>
      </c>
      <c r="W113" s="3" t="s">
        <v>219</v>
      </c>
      <c r="X113" s="3" t="s">
        <v>219</v>
      </c>
      <c r="Y113" s="3" t="s">
        <v>219</v>
      </c>
      <c r="Z113" s="11">
        <v>0</v>
      </c>
      <c r="AA113" s="11">
        <f t="shared" si="15"/>
        <v>0</v>
      </c>
      <c r="AB113" s="24"/>
    </row>
    <row r="114" spans="1:28" x14ac:dyDescent="0.3">
      <c r="A114" s="10">
        <f t="shared" si="12"/>
        <v>46132</v>
      </c>
      <c r="B114" s="21" t="s">
        <v>132</v>
      </c>
      <c r="C114" s="22">
        <v>1133956</v>
      </c>
      <c r="D114" s="21" t="s">
        <v>10</v>
      </c>
      <c r="E114" s="23">
        <v>46132</v>
      </c>
      <c r="F114" s="10">
        <f t="shared" ca="1" si="13"/>
        <v>3</v>
      </c>
      <c r="G114" s="23"/>
      <c r="H114" s="10">
        <f t="shared" ca="1" si="14"/>
        <v>0</v>
      </c>
      <c r="I114" s="3"/>
      <c r="J114" s="11"/>
      <c r="K114" s="12" t="s">
        <v>94</v>
      </c>
      <c r="L114" s="12" t="s">
        <v>98</v>
      </c>
      <c r="M114" s="12"/>
      <c r="N114" s="21"/>
      <c r="O114" s="4" t="s">
        <v>219</v>
      </c>
      <c r="P114" s="3" t="s">
        <v>219</v>
      </c>
      <c r="Q114" s="4" t="s">
        <v>219</v>
      </c>
      <c r="R114" s="3" t="s">
        <v>219</v>
      </c>
      <c r="S114" s="3" t="s">
        <v>219</v>
      </c>
      <c r="T114" s="12" t="s">
        <v>101</v>
      </c>
      <c r="U114" s="4" t="s">
        <v>219</v>
      </c>
      <c r="V114" s="3" t="s">
        <v>219</v>
      </c>
      <c r="W114" s="3" t="s">
        <v>219</v>
      </c>
      <c r="X114" s="3" t="s">
        <v>219</v>
      </c>
      <c r="Y114" s="3" t="s">
        <v>219</v>
      </c>
      <c r="Z114" s="11">
        <v>0</v>
      </c>
      <c r="AA114" s="11">
        <f t="shared" si="15"/>
        <v>0</v>
      </c>
      <c r="AB114" s="24"/>
    </row>
    <row r="115" spans="1:28" x14ac:dyDescent="0.3">
      <c r="A115" s="10">
        <f t="shared" si="12"/>
        <v>46132</v>
      </c>
      <c r="B115" s="21" t="s">
        <v>133</v>
      </c>
      <c r="C115" s="22">
        <v>1134774</v>
      </c>
      <c r="D115" s="21" t="s">
        <v>170</v>
      </c>
      <c r="E115" s="23">
        <v>46132</v>
      </c>
      <c r="F115" s="10">
        <f t="shared" ca="1" si="13"/>
        <v>3</v>
      </c>
      <c r="G115" s="23"/>
      <c r="H115" s="10">
        <f t="shared" ca="1" si="14"/>
        <v>0</v>
      </c>
      <c r="I115" s="3"/>
      <c r="J115" s="11"/>
      <c r="K115" s="12" t="s">
        <v>94</v>
      </c>
      <c r="L115" s="12" t="s">
        <v>98</v>
      </c>
      <c r="M115" s="12"/>
      <c r="N115" s="21"/>
      <c r="O115" s="4" t="s">
        <v>219</v>
      </c>
      <c r="P115" s="3" t="s">
        <v>219</v>
      </c>
      <c r="Q115" s="4" t="s">
        <v>219</v>
      </c>
      <c r="R115" s="3" t="s">
        <v>219</v>
      </c>
      <c r="S115" s="3" t="s">
        <v>219</v>
      </c>
      <c r="T115" s="12" t="s">
        <v>101</v>
      </c>
      <c r="U115" s="4" t="s">
        <v>219</v>
      </c>
      <c r="V115" s="3" t="s">
        <v>219</v>
      </c>
      <c r="W115" s="3" t="s">
        <v>219</v>
      </c>
      <c r="X115" s="3" t="s">
        <v>219</v>
      </c>
      <c r="Y115" s="3" t="s">
        <v>219</v>
      </c>
      <c r="Z115" s="11">
        <v>0</v>
      </c>
      <c r="AA115" s="11">
        <f t="shared" si="15"/>
        <v>0</v>
      </c>
      <c r="AB115" s="24"/>
    </row>
    <row r="116" spans="1:28" x14ac:dyDescent="0.3">
      <c r="A116" s="10">
        <f t="shared" si="12"/>
        <v>46132</v>
      </c>
      <c r="B116" s="21" t="s">
        <v>133</v>
      </c>
      <c r="C116" s="22">
        <v>1135303</v>
      </c>
      <c r="D116" s="21" t="s">
        <v>44</v>
      </c>
      <c r="E116" s="23">
        <v>46132</v>
      </c>
      <c r="F116" s="10">
        <f t="shared" ca="1" si="13"/>
        <v>3</v>
      </c>
      <c r="G116" s="23"/>
      <c r="H116" s="10">
        <f t="shared" ca="1" si="14"/>
        <v>0</v>
      </c>
      <c r="I116" s="3"/>
      <c r="J116" s="11"/>
      <c r="K116" s="12" t="s">
        <v>94</v>
      </c>
      <c r="L116" s="12" t="s">
        <v>98</v>
      </c>
      <c r="M116" s="12"/>
      <c r="N116" s="21"/>
      <c r="O116" s="4" t="s">
        <v>219</v>
      </c>
      <c r="P116" s="3" t="s">
        <v>219</v>
      </c>
      <c r="Q116" s="4" t="s">
        <v>219</v>
      </c>
      <c r="R116" s="3" t="s">
        <v>219</v>
      </c>
      <c r="S116" s="3" t="s">
        <v>219</v>
      </c>
      <c r="T116" s="12" t="s">
        <v>101</v>
      </c>
      <c r="U116" s="4" t="s">
        <v>219</v>
      </c>
      <c r="V116" s="3" t="s">
        <v>219</v>
      </c>
      <c r="W116" s="3" t="s">
        <v>219</v>
      </c>
      <c r="X116" s="3" t="s">
        <v>219</v>
      </c>
      <c r="Y116" s="3" t="s">
        <v>219</v>
      </c>
      <c r="Z116" s="11">
        <v>0</v>
      </c>
      <c r="AA116" s="11">
        <f t="shared" si="15"/>
        <v>0</v>
      </c>
      <c r="AB116" s="24"/>
    </row>
    <row r="117" spans="1:28" x14ac:dyDescent="0.3">
      <c r="A117" s="10">
        <f t="shared" si="12"/>
        <v>46132</v>
      </c>
      <c r="B117" s="21" t="s">
        <v>157</v>
      </c>
      <c r="C117" s="22">
        <v>1155857</v>
      </c>
      <c r="D117" s="21" t="s">
        <v>10</v>
      </c>
      <c r="E117" s="23">
        <v>46132</v>
      </c>
      <c r="F117" s="10">
        <f t="shared" ca="1" si="13"/>
        <v>3</v>
      </c>
      <c r="G117" s="23"/>
      <c r="H117" s="10">
        <f t="shared" ca="1" si="14"/>
        <v>0</v>
      </c>
      <c r="I117" s="3"/>
      <c r="J117" s="11"/>
      <c r="K117" s="12" t="s">
        <v>94</v>
      </c>
      <c r="L117" s="12" t="s">
        <v>98</v>
      </c>
      <c r="M117" s="12"/>
      <c r="N117" s="21"/>
      <c r="O117" s="4" t="s">
        <v>219</v>
      </c>
      <c r="P117" s="3" t="s">
        <v>219</v>
      </c>
      <c r="Q117" s="4" t="s">
        <v>219</v>
      </c>
      <c r="R117" s="3" t="s">
        <v>219</v>
      </c>
      <c r="S117" s="3" t="s">
        <v>219</v>
      </c>
      <c r="T117" s="12" t="s">
        <v>101</v>
      </c>
      <c r="U117" s="4" t="s">
        <v>219</v>
      </c>
      <c r="V117" s="3" t="s">
        <v>219</v>
      </c>
      <c r="W117" s="3" t="s">
        <v>219</v>
      </c>
      <c r="X117" s="3" t="s">
        <v>219</v>
      </c>
      <c r="Y117" s="3" t="s">
        <v>219</v>
      </c>
      <c r="Z117" s="11">
        <v>0</v>
      </c>
      <c r="AA117" s="11">
        <f t="shared" si="15"/>
        <v>0</v>
      </c>
      <c r="AB117" s="24"/>
    </row>
    <row r="118" spans="1:28" x14ac:dyDescent="0.3">
      <c r="A118" s="10">
        <f t="shared" si="12"/>
        <v>46132</v>
      </c>
      <c r="B118" s="21" t="s">
        <v>163</v>
      </c>
      <c r="C118" s="22">
        <v>1156078</v>
      </c>
      <c r="D118" s="21" t="s">
        <v>9</v>
      </c>
      <c r="E118" s="23">
        <v>46132</v>
      </c>
      <c r="F118" s="10">
        <f t="shared" ca="1" si="13"/>
        <v>3</v>
      </c>
      <c r="G118" s="23"/>
      <c r="H118" s="10">
        <f t="shared" ca="1" si="14"/>
        <v>0</v>
      </c>
      <c r="I118" s="3"/>
      <c r="J118" s="11"/>
      <c r="K118" s="12" t="s">
        <v>94</v>
      </c>
      <c r="L118" s="12" t="s">
        <v>98</v>
      </c>
      <c r="M118" s="12"/>
      <c r="N118" s="21"/>
      <c r="O118" s="4" t="s">
        <v>219</v>
      </c>
      <c r="P118" s="3" t="s">
        <v>219</v>
      </c>
      <c r="Q118" s="4" t="s">
        <v>219</v>
      </c>
      <c r="R118" s="3" t="s">
        <v>219</v>
      </c>
      <c r="S118" s="3" t="s">
        <v>219</v>
      </c>
      <c r="T118" s="12" t="s">
        <v>101</v>
      </c>
      <c r="U118" s="4" t="s">
        <v>219</v>
      </c>
      <c r="V118" s="3" t="s">
        <v>219</v>
      </c>
      <c r="W118" s="3" t="s">
        <v>219</v>
      </c>
      <c r="X118" s="3" t="s">
        <v>219</v>
      </c>
      <c r="Y118" s="3" t="s">
        <v>219</v>
      </c>
      <c r="Z118" s="11">
        <v>0</v>
      </c>
      <c r="AA118" s="11">
        <f t="shared" si="15"/>
        <v>0</v>
      </c>
      <c r="AB118" s="24"/>
    </row>
    <row r="119" spans="1:28" x14ac:dyDescent="0.3">
      <c r="A119" s="10">
        <f t="shared" si="12"/>
        <v>46132</v>
      </c>
      <c r="B119" s="21" t="s">
        <v>163</v>
      </c>
      <c r="C119" s="22">
        <v>1156079</v>
      </c>
      <c r="D119" s="21" t="s">
        <v>10</v>
      </c>
      <c r="E119" s="23">
        <v>46132</v>
      </c>
      <c r="F119" s="10">
        <f t="shared" ca="1" si="13"/>
        <v>3</v>
      </c>
      <c r="G119" s="23"/>
      <c r="H119" s="10">
        <f t="shared" ca="1" si="14"/>
        <v>0</v>
      </c>
      <c r="I119" s="3"/>
      <c r="J119" s="11"/>
      <c r="K119" s="12" t="s">
        <v>94</v>
      </c>
      <c r="L119" s="12" t="s">
        <v>98</v>
      </c>
      <c r="M119" s="12"/>
      <c r="N119" s="21"/>
      <c r="O119" s="4" t="s">
        <v>219</v>
      </c>
      <c r="P119" s="3" t="s">
        <v>219</v>
      </c>
      <c r="Q119" s="4" t="s">
        <v>219</v>
      </c>
      <c r="R119" s="3" t="s">
        <v>219</v>
      </c>
      <c r="S119" s="3" t="s">
        <v>219</v>
      </c>
      <c r="T119" s="12" t="s">
        <v>101</v>
      </c>
      <c r="U119" s="4" t="s">
        <v>219</v>
      </c>
      <c r="V119" s="3" t="s">
        <v>219</v>
      </c>
      <c r="W119" s="3" t="s">
        <v>219</v>
      </c>
      <c r="X119" s="3" t="s">
        <v>219</v>
      </c>
      <c r="Y119" s="3" t="s">
        <v>219</v>
      </c>
      <c r="Z119" s="11">
        <v>0</v>
      </c>
      <c r="AA119" s="11">
        <f t="shared" si="15"/>
        <v>0</v>
      </c>
      <c r="AB119" s="24"/>
    </row>
    <row r="120" spans="1:28" x14ac:dyDescent="0.3">
      <c r="A120" s="10">
        <f t="shared" si="12"/>
        <v>46133</v>
      </c>
      <c r="B120" s="21" t="s">
        <v>85</v>
      </c>
      <c r="C120" s="22" t="s">
        <v>202</v>
      </c>
      <c r="D120" s="21" t="s">
        <v>9</v>
      </c>
      <c r="E120" s="23">
        <v>46133</v>
      </c>
      <c r="F120" s="10">
        <f t="shared" ca="1" si="13"/>
        <v>4</v>
      </c>
      <c r="G120" s="23"/>
      <c r="H120" s="10">
        <f t="shared" ca="1" si="14"/>
        <v>0</v>
      </c>
      <c r="I120" s="3"/>
      <c r="J120" s="11"/>
      <c r="K120" s="12" t="s">
        <v>94</v>
      </c>
      <c r="L120" s="12" t="s">
        <v>98</v>
      </c>
      <c r="M120" s="12" t="s">
        <v>175</v>
      </c>
      <c r="N120" s="21"/>
      <c r="O120" s="4" t="s">
        <v>219</v>
      </c>
      <c r="P120" s="3" t="s">
        <v>219</v>
      </c>
      <c r="Q120" s="4" t="s">
        <v>220</v>
      </c>
      <c r="R120" s="3">
        <v>46115</v>
      </c>
      <c r="S120" s="3" t="s">
        <v>219</v>
      </c>
      <c r="T120" s="12" t="s">
        <v>101</v>
      </c>
      <c r="U120" s="4" t="s">
        <v>219</v>
      </c>
      <c r="V120" s="3" t="s">
        <v>219</v>
      </c>
      <c r="W120" s="3" t="s">
        <v>203</v>
      </c>
      <c r="X120" s="30">
        <v>46114</v>
      </c>
      <c r="Y120" s="3" t="s">
        <v>219</v>
      </c>
      <c r="Z120" s="11">
        <v>0</v>
      </c>
      <c r="AA120" s="11">
        <f t="shared" si="15"/>
        <v>0</v>
      </c>
      <c r="AB120" s="24"/>
    </row>
    <row r="121" spans="1:28" x14ac:dyDescent="0.3">
      <c r="A121" s="10">
        <f t="shared" si="12"/>
        <v>46133</v>
      </c>
      <c r="B121" s="21" t="s">
        <v>85</v>
      </c>
      <c r="C121" s="22">
        <v>1168368</v>
      </c>
      <c r="D121" s="21" t="s">
        <v>9</v>
      </c>
      <c r="E121" s="23">
        <v>46133</v>
      </c>
      <c r="F121" s="10">
        <f t="shared" ca="1" si="13"/>
        <v>4</v>
      </c>
      <c r="G121" s="23"/>
      <c r="H121" s="10">
        <f t="shared" ca="1" si="14"/>
        <v>0</v>
      </c>
      <c r="I121" s="3"/>
      <c r="J121" s="11"/>
      <c r="K121" s="12" t="s">
        <v>94</v>
      </c>
      <c r="L121" s="12" t="s">
        <v>98</v>
      </c>
      <c r="M121" s="12"/>
      <c r="N121" s="21"/>
      <c r="O121" s="4" t="s">
        <v>219</v>
      </c>
      <c r="P121" s="3" t="s">
        <v>219</v>
      </c>
      <c r="Q121" s="4" t="s">
        <v>219</v>
      </c>
      <c r="R121" s="3" t="s">
        <v>219</v>
      </c>
      <c r="S121" s="3" t="s">
        <v>219</v>
      </c>
      <c r="T121" s="12" t="s">
        <v>101</v>
      </c>
      <c r="U121" s="4" t="s">
        <v>219</v>
      </c>
      <c r="V121" s="3" t="s">
        <v>219</v>
      </c>
      <c r="W121" s="3" t="s">
        <v>219</v>
      </c>
      <c r="X121" s="3" t="s">
        <v>219</v>
      </c>
      <c r="Y121" s="3" t="s">
        <v>219</v>
      </c>
      <c r="Z121" s="11">
        <v>0</v>
      </c>
      <c r="AA121" s="11">
        <f t="shared" si="15"/>
        <v>0</v>
      </c>
      <c r="AB121" s="24"/>
    </row>
    <row r="122" spans="1:28" x14ac:dyDescent="0.3">
      <c r="A122" s="10">
        <f t="shared" si="12"/>
        <v>46133</v>
      </c>
      <c r="B122" s="21" t="s">
        <v>213</v>
      </c>
      <c r="C122" s="22">
        <v>1167235</v>
      </c>
      <c r="D122" s="21" t="s">
        <v>10</v>
      </c>
      <c r="E122" s="23">
        <v>46133</v>
      </c>
      <c r="F122" s="10">
        <f t="shared" ca="1" si="13"/>
        <v>4</v>
      </c>
      <c r="G122" s="23"/>
      <c r="H122" s="10">
        <f t="shared" ca="1" si="14"/>
        <v>0</v>
      </c>
      <c r="I122" s="3"/>
      <c r="J122" s="11"/>
      <c r="K122" s="12" t="s">
        <v>94</v>
      </c>
      <c r="L122" s="12" t="s">
        <v>98</v>
      </c>
      <c r="M122" s="12"/>
      <c r="N122" s="21"/>
      <c r="O122" s="4" t="s">
        <v>219</v>
      </c>
      <c r="P122" s="3" t="s">
        <v>219</v>
      </c>
      <c r="Q122" s="4" t="s">
        <v>219</v>
      </c>
      <c r="R122" s="3" t="s">
        <v>219</v>
      </c>
      <c r="S122" s="3" t="s">
        <v>219</v>
      </c>
      <c r="T122" s="12" t="s">
        <v>101</v>
      </c>
      <c r="U122" s="4" t="s">
        <v>219</v>
      </c>
      <c r="V122" s="3" t="s">
        <v>219</v>
      </c>
      <c r="W122" s="3" t="s">
        <v>219</v>
      </c>
      <c r="X122" s="3" t="s">
        <v>219</v>
      </c>
      <c r="Y122" s="3" t="s">
        <v>219</v>
      </c>
      <c r="Z122" s="11">
        <v>0</v>
      </c>
      <c r="AA122" s="11">
        <f t="shared" si="15"/>
        <v>0</v>
      </c>
      <c r="AB122" s="24" t="s">
        <v>222</v>
      </c>
    </row>
    <row r="123" spans="1:28" x14ac:dyDescent="0.3">
      <c r="A123" s="10">
        <f t="shared" si="12"/>
        <v>46133</v>
      </c>
      <c r="B123" s="21" t="s">
        <v>79</v>
      </c>
      <c r="C123" s="22">
        <v>1168345</v>
      </c>
      <c r="D123" s="21" t="s">
        <v>10</v>
      </c>
      <c r="E123" s="23">
        <v>46133</v>
      </c>
      <c r="F123" s="10">
        <f t="shared" ca="1" si="13"/>
        <v>4</v>
      </c>
      <c r="G123" s="23"/>
      <c r="H123" s="10">
        <f t="shared" ca="1" si="14"/>
        <v>0</v>
      </c>
      <c r="I123" s="3"/>
      <c r="J123" s="11"/>
      <c r="K123" s="12" t="s">
        <v>94</v>
      </c>
      <c r="L123" s="12" t="s">
        <v>98</v>
      </c>
      <c r="M123" s="12"/>
      <c r="N123" s="21"/>
      <c r="O123" s="4" t="s">
        <v>219</v>
      </c>
      <c r="P123" s="3" t="s">
        <v>219</v>
      </c>
      <c r="Q123" s="4" t="s">
        <v>219</v>
      </c>
      <c r="R123" s="3" t="s">
        <v>219</v>
      </c>
      <c r="S123" s="3" t="s">
        <v>219</v>
      </c>
      <c r="T123" s="12" t="s">
        <v>101</v>
      </c>
      <c r="U123" s="4" t="s">
        <v>219</v>
      </c>
      <c r="V123" s="3" t="s">
        <v>219</v>
      </c>
      <c r="W123" s="3" t="s">
        <v>219</v>
      </c>
      <c r="X123" s="3" t="s">
        <v>219</v>
      </c>
      <c r="Y123" s="3" t="s">
        <v>219</v>
      </c>
      <c r="Z123" s="11">
        <v>0</v>
      </c>
      <c r="AA123" s="11">
        <f t="shared" si="15"/>
        <v>0</v>
      </c>
      <c r="AB123" s="24"/>
    </row>
    <row r="124" spans="1:28" x14ac:dyDescent="0.3">
      <c r="A124" s="10">
        <f t="shared" si="12"/>
        <v>46133</v>
      </c>
      <c r="B124" s="21" t="s">
        <v>38</v>
      </c>
      <c r="C124" s="22">
        <v>1168365</v>
      </c>
      <c r="D124" s="21" t="s">
        <v>9</v>
      </c>
      <c r="E124" s="23">
        <v>46133</v>
      </c>
      <c r="F124" s="10">
        <f t="shared" ca="1" si="13"/>
        <v>4</v>
      </c>
      <c r="G124" s="23"/>
      <c r="H124" s="10">
        <f t="shared" ca="1" si="14"/>
        <v>0</v>
      </c>
      <c r="I124" s="3"/>
      <c r="J124" s="11"/>
      <c r="K124" s="12" t="s">
        <v>94</v>
      </c>
      <c r="L124" s="12" t="s">
        <v>98</v>
      </c>
      <c r="M124" s="12"/>
      <c r="N124" s="21"/>
      <c r="O124" s="4" t="s">
        <v>219</v>
      </c>
      <c r="P124" s="3" t="s">
        <v>219</v>
      </c>
      <c r="Q124" s="4" t="s">
        <v>219</v>
      </c>
      <c r="R124" s="3" t="s">
        <v>219</v>
      </c>
      <c r="S124" s="3" t="s">
        <v>219</v>
      </c>
      <c r="T124" s="12" t="s">
        <v>101</v>
      </c>
      <c r="U124" s="4" t="s">
        <v>219</v>
      </c>
      <c r="V124" s="3" t="s">
        <v>219</v>
      </c>
      <c r="W124" s="3" t="s">
        <v>219</v>
      </c>
      <c r="X124" s="3" t="s">
        <v>219</v>
      </c>
      <c r="Y124" s="3" t="s">
        <v>219</v>
      </c>
      <c r="Z124" s="11">
        <v>0</v>
      </c>
      <c r="AA124" s="11">
        <f t="shared" si="15"/>
        <v>0</v>
      </c>
      <c r="AB124" s="24"/>
    </row>
    <row r="125" spans="1:28" x14ac:dyDescent="0.3">
      <c r="A125" s="10">
        <f t="shared" si="12"/>
        <v>46133</v>
      </c>
      <c r="B125" s="21" t="s">
        <v>111</v>
      </c>
      <c r="C125" s="22">
        <v>1168354</v>
      </c>
      <c r="D125" s="21" t="s">
        <v>14</v>
      </c>
      <c r="E125" s="23">
        <v>46133</v>
      </c>
      <c r="F125" s="10">
        <f t="shared" ca="1" si="13"/>
        <v>4</v>
      </c>
      <c r="G125" s="23"/>
      <c r="H125" s="10">
        <f t="shared" ca="1" si="14"/>
        <v>0</v>
      </c>
      <c r="I125" s="3"/>
      <c r="J125" s="11"/>
      <c r="K125" s="12" t="s">
        <v>94</v>
      </c>
      <c r="L125" s="12" t="s">
        <v>98</v>
      </c>
      <c r="M125" s="12"/>
      <c r="N125" s="21"/>
      <c r="O125" s="4" t="s">
        <v>219</v>
      </c>
      <c r="P125" s="3" t="s">
        <v>219</v>
      </c>
      <c r="Q125" s="4" t="s">
        <v>220</v>
      </c>
      <c r="R125" s="3">
        <v>46115</v>
      </c>
      <c r="S125" s="3" t="s">
        <v>219</v>
      </c>
      <c r="T125" s="12" t="s">
        <v>101</v>
      </c>
      <c r="U125" s="4" t="s">
        <v>219</v>
      </c>
      <c r="V125" s="3" t="s">
        <v>219</v>
      </c>
      <c r="W125" s="3" t="s">
        <v>219</v>
      </c>
      <c r="X125" s="3" t="s">
        <v>219</v>
      </c>
      <c r="Y125" s="3" t="s">
        <v>219</v>
      </c>
      <c r="Z125" s="11">
        <v>0</v>
      </c>
      <c r="AA125" s="11">
        <f t="shared" si="15"/>
        <v>0</v>
      </c>
      <c r="AB125" s="24"/>
    </row>
    <row r="126" spans="1:28" x14ac:dyDescent="0.3">
      <c r="A126" s="10">
        <f t="shared" si="12"/>
        <v>46133</v>
      </c>
      <c r="B126" s="21" t="s">
        <v>112</v>
      </c>
      <c r="C126" s="22">
        <v>1168353</v>
      </c>
      <c r="D126" s="21" t="s">
        <v>6</v>
      </c>
      <c r="E126" s="23">
        <v>46133</v>
      </c>
      <c r="F126" s="10">
        <f t="shared" ca="1" si="13"/>
        <v>4</v>
      </c>
      <c r="G126" s="23"/>
      <c r="H126" s="10">
        <f t="shared" ca="1" si="14"/>
        <v>0</v>
      </c>
      <c r="I126" s="3"/>
      <c r="J126" s="11"/>
      <c r="K126" s="12" t="s">
        <v>94</v>
      </c>
      <c r="L126" s="12" t="s">
        <v>98</v>
      </c>
      <c r="M126" s="12"/>
      <c r="N126" s="21"/>
      <c r="O126" s="4" t="s">
        <v>219</v>
      </c>
      <c r="P126" s="3" t="s">
        <v>219</v>
      </c>
      <c r="Q126" s="4" t="s">
        <v>219</v>
      </c>
      <c r="R126" s="3" t="s">
        <v>219</v>
      </c>
      <c r="S126" s="3" t="s">
        <v>219</v>
      </c>
      <c r="T126" s="12" t="s">
        <v>101</v>
      </c>
      <c r="U126" s="4" t="s">
        <v>219</v>
      </c>
      <c r="V126" s="3" t="s">
        <v>219</v>
      </c>
      <c r="W126" s="3" t="s">
        <v>219</v>
      </c>
      <c r="X126" s="3" t="s">
        <v>219</v>
      </c>
      <c r="Y126" s="3" t="s">
        <v>219</v>
      </c>
      <c r="Z126" s="11">
        <v>0</v>
      </c>
      <c r="AA126" s="11">
        <f t="shared" si="15"/>
        <v>0</v>
      </c>
      <c r="AB126" s="24"/>
    </row>
    <row r="127" spans="1:28" x14ac:dyDescent="0.3">
      <c r="A127" s="10">
        <f t="shared" si="12"/>
        <v>46134</v>
      </c>
      <c r="B127" s="21" t="s">
        <v>214</v>
      </c>
      <c r="C127" s="22">
        <v>1169672</v>
      </c>
      <c r="D127" s="21" t="s">
        <v>10</v>
      </c>
      <c r="E127" s="23">
        <v>46134</v>
      </c>
      <c r="F127" s="10">
        <f t="shared" ca="1" si="13"/>
        <v>4</v>
      </c>
      <c r="G127" s="23"/>
      <c r="H127" s="10">
        <f t="shared" ca="1" si="14"/>
        <v>0</v>
      </c>
      <c r="I127" s="3"/>
      <c r="J127" s="11"/>
      <c r="K127" s="12" t="s">
        <v>94</v>
      </c>
      <c r="L127" s="12" t="s">
        <v>98</v>
      </c>
      <c r="M127" s="12"/>
      <c r="N127" s="21"/>
      <c r="O127" s="4" t="s">
        <v>219</v>
      </c>
      <c r="P127" s="3" t="s">
        <v>219</v>
      </c>
      <c r="Q127" s="4" t="s">
        <v>219</v>
      </c>
      <c r="R127" s="3" t="s">
        <v>219</v>
      </c>
      <c r="S127" s="3" t="s">
        <v>219</v>
      </c>
      <c r="T127" s="12" t="s">
        <v>101</v>
      </c>
      <c r="U127" s="4" t="s">
        <v>219</v>
      </c>
      <c r="V127" s="3" t="s">
        <v>219</v>
      </c>
      <c r="W127" s="3" t="s">
        <v>219</v>
      </c>
      <c r="X127" s="3" t="s">
        <v>219</v>
      </c>
      <c r="Y127" s="3" t="s">
        <v>219</v>
      </c>
      <c r="Z127" s="11">
        <v>0</v>
      </c>
      <c r="AA127" s="11">
        <f t="shared" si="15"/>
        <v>0</v>
      </c>
      <c r="AB127" s="24"/>
    </row>
    <row r="128" spans="1:28" x14ac:dyDescent="0.3">
      <c r="A128" s="10">
        <f t="shared" si="12"/>
        <v>46134</v>
      </c>
      <c r="B128" s="21" t="s">
        <v>215</v>
      </c>
      <c r="C128" s="22">
        <v>1169671</v>
      </c>
      <c r="D128" s="21" t="s">
        <v>10</v>
      </c>
      <c r="E128" s="23">
        <v>46134</v>
      </c>
      <c r="F128" s="10">
        <f t="shared" ca="1" si="13"/>
        <v>4</v>
      </c>
      <c r="G128" s="23"/>
      <c r="H128" s="10">
        <f t="shared" ca="1" si="14"/>
        <v>0</v>
      </c>
      <c r="I128" s="3"/>
      <c r="J128" s="11"/>
      <c r="K128" s="12" t="s">
        <v>94</v>
      </c>
      <c r="L128" s="12" t="s">
        <v>98</v>
      </c>
      <c r="M128" s="12"/>
      <c r="N128" s="21"/>
      <c r="O128" s="4" t="s">
        <v>219</v>
      </c>
      <c r="P128" s="3" t="s">
        <v>219</v>
      </c>
      <c r="Q128" s="4" t="s">
        <v>220</v>
      </c>
      <c r="R128" s="3">
        <v>46115</v>
      </c>
      <c r="S128" s="3" t="s">
        <v>219</v>
      </c>
      <c r="T128" s="12" t="s">
        <v>101</v>
      </c>
      <c r="U128" s="4" t="s">
        <v>219</v>
      </c>
      <c r="V128" s="3" t="s">
        <v>219</v>
      </c>
      <c r="W128" s="3" t="s">
        <v>219</v>
      </c>
      <c r="X128" s="3" t="s">
        <v>219</v>
      </c>
      <c r="Y128" s="3" t="s">
        <v>219</v>
      </c>
      <c r="Z128" s="11">
        <v>0</v>
      </c>
      <c r="AA128" s="11">
        <f t="shared" si="15"/>
        <v>0</v>
      </c>
      <c r="AB128" s="24"/>
    </row>
    <row r="129" spans="1:28" x14ac:dyDescent="0.3">
      <c r="A129" s="10">
        <f t="shared" si="12"/>
        <v>46136</v>
      </c>
      <c r="B129" s="21" t="s">
        <v>128</v>
      </c>
      <c r="C129" s="22">
        <v>1152806</v>
      </c>
      <c r="D129" s="21" t="s">
        <v>167</v>
      </c>
      <c r="E129" s="23">
        <v>46136</v>
      </c>
      <c r="F129" s="10">
        <f t="shared" ca="1" si="13"/>
        <v>4</v>
      </c>
      <c r="G129" s="23"/>
      <c r="H129" s="10">
        <f t="shared" ca="1" si="14"/>
        <v>0</v>
      </c>
      <c r="I129" s="3"/>
      <c r="J129" s="11"/>
      <c r="K129" s="12" t="s">
        <v>94</v>
      </c>
      <c r="L129" s="12" t="s">
        <v>98</v>
      </c>
      <c r="M129" s="12"/>
      <c r="N129" s="21"/>
      <c r="O129" s="4" t="s">
        <v>219</v>
      </c>
      <c r="P129" s="3" t="s">
        <v>219</v>
      </c>
      <c r="Q129" s="4" t="s">
        <v>219</v>
      </c>
      <c r="R129" s="3" t="s">
        <v>219</v>
      </c>
      <c r="S129" s="3" t="s">
        <v>219</v>
      </c>
      <c r="T129" s="12" t="s">
        <v>101</v>
      </c>
      <c r="U129" s="4" t="s">
        <v>219</v>
      </c>
      <c r="V129" s="3" t="s">
        <v>219</v>
      </c>
      <c r="W129" s="3" t="s">
        <v>219</v>
      </c>
      <c r="X129" s="3" t="s">
        <v>219</v>
      </c>
      <c r="Y129" s="3" t="s">
        <v>219</v>
      </c>
      <c r="Z129" s="11">
        <v>0</v>
      </c>
      <c r="AA129" s="11">
        <f t="shared" si="15"/>
        <v>0</v>
      </c>
      <c r="AB129" s="24"/>
    </row>
    <row r="130" spans="1:28" x14ac:dyDescent="0.3">
      <c r="A130" s="10">
        <f t="shared" ref="A130:A149" si="16">E130-G130</f>
        <v>46137</v>
      </c>
      <c r="B130" s="21" t="s">
        <v>72</v>
      </c>
      <c r="C130" s="22">
        <v>1153759</v>
      </c>
      <c r="D130" s="21" t="s">
        <v>10</v>
      </c>
      <c r="E130" s="23">
        <v>46137</v>
      </c>
      <c r="F130" s="10">
        <f t="shared" ref="F130:F161" ca="1" si="17">IF(AND(E130&gt;=TODAY(),E130&lt;=TODAY()+5),1,IF(AND(E130&gt;TODAY()+1,E130&lt;=TODAY()+10),2,IF(AND(E130&gt;TODAY()+2,E130&lt;=TODAY()+15),3,IF(AND(E130&gt;TODAY()+3,E130&lt;=TODAY()+365),4,0))))</f>
        <v>4</v>
      </c>
      <c r="G130" s="23"/>
      <c r="H130" s="10">
        <f t="shared" ref="H130:H161" ca="1" si="18">IF(AND(G130&gt;=TODAY(),G130&lt;=TODAY()+5),1,IF(AND(G130&gt;TODAY()+1,G130&lt;=TODAY()+10),2,IF(AND(G130&gt;TODAY()+2,G130&lt;=TODAY()+15),3,IF(AND(G130&gt;TODAY()+3,G130&lt;=TODAY()+365),4,0))))</f>
        <v>0</v>
      </c>
      <c r="I130" s="3"/>
      <c r="J130" s="11"/>
      <c r="K130" s="12" t="s">
        <v>94</v>
      </c>
      <c r="L130" s="12" t="s">
        <v>31</v>
      </c>
      <c r="M130" s="12" t="s">
        <v>175</v>
      </c>
      <c r="N130" s="21"/>
      <c r="O130" s="4" t="s">
        <v>219</v>
      </c>
      <c r="P130" s="3" t="s">
        <v>219</v>
      </c>
      <c r="Q130" s="4" t="s">
        <v>219</v>
      </c>
      <c r="R130" s="3" t="s">
        <v>219</v>
      </c>
      <c r="S130" s="3" t="s">
        <v>219</v>
      </c>
      <c r="T130" s="12" t="s">
        <v>101</v>
      </c>
      <c r="U130" s="4" t="s">
        <v>219</v>
      </c>
      <c r="V130" s="3" t="s">
        <v>219</v>
      </c>
      <c r="W130" s="3" t="s">
        <v>219</v>
      </c>
      <c r="X130" s="3" t="s">
        <v>219</v>
      </c>
      <c r="Y130" s="3" t="s">
        <v>219</v>
      </c>
      <c r="Z130" s="11">
        <v>0</v>
      </c>
      <c r="AA130" s="11">
        <f t="shared" ref="AA130:AA161" si="19">J130-Z130</f>
        <v>0</v>
      </c>
      <c r="AB130" s="24" t="s">
        <v>194</v>
      </c>
    </row>
    <row r="131" spans="1:28" x14ac:dyDescent="0.3">
      <c r="A131" s="10">
        <f t="shared" si="16"/>
        <v>46137</v>
      </c>
      <c r="B131" s="21" t="s">
        <v>86</v>
      </c>
      <c r="C131" s="22">
        <v>1153773</v>
      </c>
      <c r="D131" s="21" t="s">
        <v>10</v>
      </c>
      <c r="E131" s="23">
        <v>46137</v>
      </c>
      <c r="F131" s="10">
        <f t="shared" ca="1" si="17"/>
        <v>4</v>
      </c>
      <c r="G131" s="23"/>
      <c r="H131" s="10">
        <f t="shared" ca="1" si="18"/>
        <v>0</v>
      </c>
      <c r="I131" s="3" t="s">
        <v>82</v>
      </c>
      <c r="J131" s="11">
        <v>400</v>
      </c>
      <c r="K131" s="12" t="s">
        <v>94</v>
      </c>
      <c r="L131" s="12" t="s">
        <v>31</v>
      </c>
      <c r="M131" s="12" t="s">
        <v>32</v>
      </c>
      <c r="N131" s="21" t="s">
        <v>74</v>
      </c>
      <c r="O131" s="4" t="s">
        <v>219</v>
      </c>
      <c r="P131" s="3" t="s">
        <v>219</v>
      </c>
      <c r="Q131" s="4" t="s">
        <v>219</v>
      </c>
      <c r="R131" s="3" t="s">
        <v>219</v>
      </c>
      <c r="S131" s="3" t="s">
        <v>219</v>
      </c>
      <c r="T131" s="12" t="s">
        <v>35</v>
      </c>
      <c r="U131" s="4" t="s">
        <v>218</v>
      </c>
      <c r="V131" s="3" t="s">
        <v>96</v>
      </c>
      <c r="W131" s="3" t="s">
        <v>219</v>
      </c>
      <c r="X131" s="3" t="s">
        <v>219</v>
      </c>
      <c r="Y131" s="3" t="s">
        <v>219</v>
      </c>
      <c r="Z131" s="11">
        <v>0</v>
      </c>
      <c r="AA131" s="11">
        <f t="shared" si="19"/>
        <v>400</v>
      </c>
      <c r="AB131" s="24"/>
    </row>
    <row r="132" spans="1:28" x14ac:dyDescent="0.3">
      <c r="A132" s="10">
        <f t="shared" si="16"/>
        <v>46137</v>
      </c>
      <c r="B132" s="21" t="s">
        <v>164</v>
      </c>
      <c r="C132" s="22">
        <v>1156135</v>
      </c>
      <c r="D132" s="21" t="s">
        <v>11</v>
      </c>
      <c r="E132" s="23">
        <v>46137</v>
      </c>
      <c r="F132" s="10">
        <f t="shared" ca="1" si="17"/>
        <v>4</v>
      </c>
      <c r="G132" s="23"/>
      <c r="H132" s="10">
        <f t="shared" ca="1" si="18"/>
        <v>0</v>
      </c>
      <c r="I132" s="3"/>
      <c r="J132" s="11"/>
      <c r="K132" s="12" t="s">
        <v>94</v>
      </c>
      <c r="L132" s="12" t="s">
        <v>98</v>
      </c>
      <c r="M132" s="12"/>
      <c r="N132" s="21"/>
      <c r="O132" s="4" t="s">
        <v>219</v>
      </c>
      <c r="P132" s="3" t="s">
        <v>219</v>
      </c>
      <c r="Q132" s="4" t="s">
        <v>219</v>
      </c>
      <c r="R132" s="3" t="s">
        <v>219</v>
      </c>
      <c r="S132" s="3" t="s">
        <v>219</v>
      </c>
      <c r="T132" s="12" t="s">
        <v>101</v>
      </c>
      <c r="U132" s="4" t="s">
        <v>219</v>
      </c>
      <c r="V132" s="3" t="s">
        <v>219</v>
      </c>
      <c r="W132" s="3" t="s">
        <v>219</v>
      </c>
      <c r="X132" s="3" t="s">
        <v>219</v>
      </c>
      <c r="Y132" s="3" t="s">
        <v>219</v>
      </c>
      <c r="Z132" s="11">
        <v>0</v>
      </c>
      <c r="AA132" s="11">
        <f t="shared" si="19"/>
        <v>0</v>
      </c>
      <c r="AB132" s="24"/>
    </row>
    <row r="133" spans="1:28" x14ac:dyDescent="0.3">
      <c r="A133" s="10">
        <f t="shared" si="16"/>
        <v>46139</v>
      </c>
      <c r="B133" s="21" t="s">
        <v>161</v>
      </c>
      <c r="C133" s="22">
        <v>1155856</v>
      </c>
      <c r="D133" s="21" t="s">
        <v>5</v>
      </c>
      <c r="E133" s="23">
        <v>46139</v>
      </c>
      <c r="F133" s="10">
        <f t="shared" ca="1" si="17"/>
        <v>4</v>
      </c>
      <c r="G133" s="23"/>
      <c r="H133" s="10">
        <f t="shared" ca="1" si="18"/>
        <v>0</v>
      </c>
      <c r="I133" s="3"/>
      <c r="J133" s="11"/>
      <c r="K133" s="12" t="s">
        <v>94</v>
      </c>
      <c r="L133" s="12" t="s">
        <v>98</v>
      </c>
      <c r="M133" s="12"/>
      <c r="N133" s="21"/>
      <c r="O133" s="4" t="s">
        <v>219</v>
      </c>
      <c r="P133" s="3" t="s">
        <v>219</v>
      </c>
      <c r="Q133" s="4" t="s">
        <v>219</v>
      </c>
      <c r="R133" s="3" t="s">
        <v>219</v>
      </c>
      <c r="S133" s="3" t="s">
        <v>219</v>
      </c>
      <c r="T133" s="12" t="s">
        <v>101</v>
      </c>
      <c r="U133" s="4" t="s">
        <v>219</v>
      </c>
      <c r="V133" s="3" t="s">
        <v>219</v>
      </c>
      <c r="W133" s="3" t="s">
        <v>219</v>
      </c>
      <c r="X133" s="3" t="s">
        <v>219</v>
      </c>
      <c r="Y133" s="3" t="s">
        <v>219</v>
      </c>
      <c r="Z133" s="11">
        <v>0</v>
      </c>
      <c r="AA133" s="11">
        <f t="shared" si="19"/>
        <v>0</v>
      </c>
      <c r="AB133" s="24"/>
    </row>
    <row r="134" spans="1:28" x14ac:dyDescent="0.3">
      <c r="A134" s="10">
        <f t="shared" si="16"/>
        <v>46139</v>
      </c>
      <c r="B134" s="21" t="s">
        <v>160</v>
      </c>
      <c r="C134" s="22">
        <v>1156096</v>
      </c>
      <c r="D134" s="21" t="s">
        <v>11</v>
      </c>
      <c r="E134" s="23">
        <v>46139</v>
      </c>
      <c r="F134" s="10">
        <f t="shared" ca="1" si="17"/>
        <v>4</v>
      </c>
      <c r="G134" s="23"/>
      <c r="H134" s="10">
        <f t="shared" ca="1" si="18"/>
        <v>0</v>
      </c>
      <c r="I134" s="3"/>
      <c r="J134" s="11"/>
      <c r="K134" s="12" t="s">
        <v>94</v>
      </c>
      <c r="L134" s="12" t="s">
        <v>98</v>
      </c>
      <c r="M134" s="12"/>
      <c r="N134" s="21"/>
      <c r="O134" s="4" t="s">
        <v>219</v>
      </c>
      <c r="P134" s="3" t="s">
        <v>219</v>
      </c>
      <c r="Q134" s="4" t="s">
        <v>219</v>
      </c>
      <c r="R134" s="3" t="s">
        <v>219</v>
      </c>
      <c r="S134" s="3" t="s">
        <v>219</v>
      </c>
      <c r="T134" s="12" t="s">
        <v>101</v>
      </c>
      <c r="U134" s="4" t="s">
        <v>219</v>
      </c>
      <c r="V134" s="3" t="s">
        <v>219</v>
      </c>
      <c r="W134" s="3" t="s">
        <v>219</v>
      </c>
      <c r="X134" s="3" t="s">
        <v>219</v>
      </c>
      <c r="Y134" s="3" t="s">
        <v>219</v>
      </c>
      <c r="Z134" s="11">
        <v>0</v>
      </c>
      <c r="AA134" s="11">
        <f t="shared" si="19"/>
        <v>0</v>
      </c>
      <c r="AB134" s="24"/>
    </row>
    <row r="135" spans="1:28" x14ac:dyDescent="0.3">
      <c r="A135" s="10">
        <f t="shared" si="16"/>
        <v>46139</v>
      </c>
      <c r="B135" s="21" t="s">
        <v>162</v>
      </c>
      <c r="C135" s="22">
        <v>1156817</v>
      </c>
      <c r="D135" s="21" t="s">
        <v>11</v>
      </c>
      <c r="E135" s="23">
        <v>46139</v>
      </c>
      <c r="F135" s="10">
        <f t="shared" ca="1" si="17"/>
        <v>4</v>
      </c>
      <c r="G135" s="23"/>
      <c r="H135" s="10">
        <f t="shared" ca="1" si="18"/>
        <v>0</v>
      </c>
      <c r="I135" s="3"/>
      <c r="J135" s="11"/>
      <c r="K135" s="12" t="s">
        <v>94</v>
      </c>
      <c r="L135" s="12" t="s">
        <v>98</v>
      </c>
      <c r="M135" s="12"/>
      <c r="N135" s="21"/>
      <c r="O135" s="4" t="s">
        <v>219</v>
      </c>
      <c r="P135" s="3" t="s">
        <v>219</v>
      </c>
      <c r="Q135" s="4" t="s">
        <v>219</v>
      </c>
      <c r="R135" s="3" t="s">
        <v>219</v>
      </c>
      <c r="S135" s="3" t="s">
        <v>219</v>
      </c>
      <c r="T135" s="12" t="s">
        <v>101</v>
      </c>
      <c r="U135" s="4" t="s">
        <v>219</v>
      </c>
      <c r="V135" s="3" t="s">
        <v>219</v>
      </c>
      <c r="W135" s="3" t="s">
        <v>219</v>
      </c>
      <c r="X135" s="3" t="s">
        <v>219</v>
      </c>
      <c r="Y135" s="3" t="s">
        <v>219</v>
      </c>
      <c r="Z135" s="11">
        <v>0</v>
      </c>
      <c r="AA135" s="11">
        <f t="shared" si="19"/>
        <v>0</v>
      </c>
      <c r="AB135" s="24"/>
    </row>
    <row r="136" spans="1:28" x14ac:dyDescent="0.3">
      <c r="A136" s="10">
        <f t="shared" si="16"/>
        <v>46139</v>
      </c>
      <c r="B136" s="21" t="s">
        <v>129</v>
      </c>
      <c r="C136" s="22">
        <v>1158813</v>
      </c>
      <c r="D136" s="21" t="s">
        <v>168</v>
      </c>
      <c r="E136" s="23">
        <v>46139</v>
      </c>
      <c r="F136" s="10">
        <f t="shared" ca="1" si="17"/>
        <v>4</v>
      </c>
      <c r="G136" s="23"/>
      <c r="H136" s="10">
        <f t="shared" ca="1" si="18"/>
        <v>0</v>
      </c>
      <c r="I136" s="3"/>
      <c r="J136" s="11"/>
      <c r="K136" s="12" t="s">
        <v>94</v>
      </c>
      <c r="L136" s="12" t="s">
        <v>98</v>
      </c>
      <c r="M136" s="12"/>
      <c r="N136" s="21"/>
      <c r="O136" s="4" t="s">
        <v>219</v>
      </c>
      <c r="P136" s="3" t="s">
        <v>219</v>
      </c>
      <c r="Q136" s="4" t="s">
        <v>219</v>
      </c>
      <c r="R136" s="3" t="s">
        <v>219</v>
      </c>
      <c r="S136" s="3" t="s">
        <v>219</v>
      </c>
      <c r="T136" s="12" t="s">
        <v>101</v>
      </c>
      <c r="U136" s="4" t="s">
        <v>219</v>
      </c>
      <c r="V136" s="3" t="s">
        <v>219</v>
      </c>
      <c r="W136" s="3" t="s">
        <v>219</v>
      </c>
      <c r="X136" s="3" t="s">
        <v>219</v>
      </c>
      <c r="Y136" s="3" t="s">
        <v>219</v>
      </c>
      <c r="Z136" s="11">
        <v>0</v>
      </c>
      <c r="AA136" s="11">
        <f t="shared" si="19"/>
        <v>0</v>
      </c>
      <c r="AB136" s="24"/>
    </row>
    <row r="137" spans="1:28" x14ac:dyDescent="0.3">
      <c r="A137" s="10">
        <f t="shared" si="16"/>
        <v>46139</v>
      </c>
      <c r="B137" s="21" t="s">
        <v>139</v>
      </c>
      <c r="C137" s="22">
        <v>1164626</v>
      </c>
      <c r="D137" s="21" t="s">
        <v>44</v>
      </c>
      <c r="E137" s="23">
        <v>46139</v>
      </c>
      <c r="F137" s="10">
        <f t="shared" ca="1" si="17"/>
        <v>4</v>
      </c>
      <c r="G137" s="23"/>
      <c r="H137" s="10">
        <f t="shared" ca="1" si="18"/>
        <v>0</v>
      </c>
      <c r="I137" s="3"/>
      <c r="J137" s="11"/>
      <c r="K137" s="12" t="s">
        <v>94</v>
      </c>
      <c r="L137" s="12" t="s">
        <v>98</v>
      </c>
      <c r="M137" s="12"/>
      <c r="N137" s="21"/>
      <c r="O137" s="4" t="s">
        <v>219</v>
      </c>
      <c r="P137" s="3" t="s">
        <v>219</v>
      </c>
      <c r="Q137" s="4" t="s">
        <v>219</v>
      </c>
      <c r="R137" s="3" t="s">
        <v>219</v>
      </c>
      <c r="S137" s="3" t="s">
        <v>219</v>
      </c>
      <c r="T137" s="12" t="s">
        <v>101</v>
      </c>
      <c r="U137" s="4" t="s">
        <v>219</v>
      </c>
      <c r="V137" s="3" t="s">
        <v>219</v>
      </c>
      <c r="W137" s="3" t="s">
        <v>219</v>
      </c>
      <c r="X137" s="3" t="s">
        <v>219</v>
      </c>
      <c r="Y137" s="3" t="s">
        <v>219</v>
      </c>
      <c r="Z137" s="11">
        <v>0</v>
      </c>
      <c r="AA137" s="11">
        <f t="shared" si="19"/>
        <v>0</v>
      </c>
      <c r="AB137" s="24"/>
    </row>
    <row r="138" spans="1:28" x14ac:dyDescent="0.3">
      <c r="A138" s="10">
        <f t="shared" si="16"/>
        <v>46139</v>
      </c>
      <c r="B138" s="21" t="s">
        <v>139</v>
      </c>
      <c r="C138" s="22">
        <v>1164627</v>
      </c>
      <c r="D138" s="21" t="s">
        <v>169</v>
      </c>
      <c r="E138" s="23">
        <v>46139</v>
      </c>
      <c r="F138" s="10">
        <f t="shared" ca="1" si="17"/>
        <v>4</v>
      </c>
      <c r="G138" s="23"/>
      <c r="H138" s="10">
        <f t="shared" ca="1" si="18"/>
        <v>0</v>
      </c>
      <c r="I138" s="3"/>
      <c r="J138" s="11"/>
      <c r="K138" s="12" t="s">
        <v>94</v>
      </c>
      <c r="L138" s="12" t="s">
        <v>98</v>
      </c>
      <c r="M138" s="12"/>
      <c r="N138" s="21"/>
      <c r="O138" s="4" t="s">
        <v>219</v>
      </c>
      <c r="P138" s="3" t="s">
        <v>219</v>
      </c>
      <c r="Q138" s="4" t="s">
        <v>219</v>
      </c>
      <c r="R138" s="3" t="s">
        <v>219</v>
      </c>
      <c r="S138" s="3" t="s">
        <v>219</v>
      </c>
      <c r="T138" s="12" t="s">
        <v>101</v>
      </c>
      <c r="U138" s="4" t="s">
        <v>219</v>
      </c>
      <c r="V138" s="3" t="s">
        <v>219</v>
      </c>
      <c r="W138" s="3" t="s">
        <v>219</v>
      </c>
      <c r="X138" s="3" t="s">
        <v>219</v>
      </c>
      <c r="Y138" s="3" t="s">
        <v>219</v>
      </c>
      <c r="Z138" s="11">
        <v>0</v>
      </c>
      <c r="AA138" s="11">
        <f t="shared" si="19"/>
        <v>0</v>
      </c>
      <c r="AB138" s="24"/>
    </row>
    <row r="139" spans="1:28" x14ac:dyDescent="0.3">
      <c r="A139" s="10">
        <f t="shared" si="16"/>
        <v>46140</v>
      </c>
      <c r="B139" s="21" t="s">
        <v>140</v>
      </c>
      <c r="C139" s="22">
        <v>1147973</v>
      </c>
      <c r="D139" s="21" t="s">
        <v>44</v>
      </c>
      <c r="E139" s="23">
        <v>46140</v>
      </c>
      <c r="F139" s="10">
        <f t="shared" ca="1" si="17"/>
        <v>4</v>
      </c>
      <c r="G139" s="23"/>
      <c r="H139" s="10">
        <f t="shared" ca="1" si="18"/>
        <v>0</v>
      </c>
      <c r="I139" s="3"/>
      <c r="J139" s="11"/>
      <c r="K139" s="12" t="s">
        <v>94</v>
      </c>
      <c r="L139" s="12" t="s">
        <v>98</v>
      </c>
      <c r="M139" s="12"/>
      <c r="N139" s="21"/>
      <c r="O139" s="4" t="s">
        <v>219</v>
      </c>
      <c r="P139" s="3" t="s">
        <v>219</v>
      </c>
      <c r="Q139" s="4" t="s">
        <v>219</v>
      </c>
      <c r="R139" s="3" t="s">
        <v>219</v>
      </c>
      <c r="S139" s="3" t="s">
        <v>219</v>
      </c>
      <c r="T139" s="12" t="s">
        <v>101</v>
      </c>
      <c r="U139" s="4" t="s">
        <v>219</v>
      </c>
      <c r="V139" s="3" t="s">
        <v>219</v>
      </c>
      <c r="W139" s="3" t="s">
        <v>219</v>
      </c>
      <c r="X139" s="3" t="s">
        <v>219</v>
      </c>
      <c r="Y139" s="3" t="s">
        <v>219</v>
      </c>
      <c r="Z139" s="11">
        <v>0</v>
      </c>
      <c r="AA139" s="11">
        <f t="shared" si="19"/>
        <v>0</v>
      </c>
      <c r="AB139" s="24"/>
    </row>
    <row r="140" spans="1:28" x14ac:dyDescent="0.3">
      <c r="A140" s="10">
        <f t="shared" si="16"/>
        <v>46140</v>
      </c>
      <c r="B140" s="21" t="s">
        <v>156</v>
      </c>
      <c r="C140" s="22">
        <v>1160229</v>
      </c>
      <c r="D140" s="21" t="s">
        <v>13</v>
      </c>
      <c r="E140" s="23">
        <v>46140</v>
      </c>
      <c r="F140" s="10">
        <f t="shared" ca="1" si="17"/>
        <v>4</v>
      </c>
      <c r="G140" s="23"/>
      <c r="H140" s="10">
        <f t="shared" ca="1" si="18"/>
        <v>0</v>
      </c>
      <c r="I140" s="3"/>
      <c r="J140" s="11"/>
      <c r="K140" s="12" t="s">
        <v>94</v>
      </c>
      <c r="L140" s="12" t="s">
        <v>98</v>
      </c>
      <c r="M140" s="12"/>
      <c r="N140" s="21"/>
      <c r="O140" s="4" t="s">
        <v>219</v>
      </c>
      <c r="P140" s="3" t="s">
        <v>219</v>
      </c>
      <c r="Q140" s="4" t="s">
        <v>219</v>
      </c>
      <c r="R140" s="3" t="s">
        <v>219</v>
      </c>
      <c r="S140" s="3" t="s">
        <v>219</v>
      </c>
      <c r="T140" s="12" t="s">
        <v>101</v>
      </c>
      <c r="U140" s="4" t="s">
        <v>219</v>
      </c>
      <c r="V140" s="3" t="s">
        <v>219</v>
      </c>
      <c r="W140" s="3" t="s">
        <v>219</v>
      </c>
      <c r="X140" s="3" t="s">
        <v>219</v>
      </c>
      <c r="Y140" s="3" t="s">
        <v>219</v>
      </c>
      <c r="Z140" s="11">
        <v>0</v>
      </c>
      <c r="AA140" s="11">
        <f t="shared" si="19"/>
        <v>0</v>
      </c>
      <c r="AB140" s="24"/>
    </row>
    <row r="141" spans="1:28" x14ac:dyDescent="0.3">
      <c r="A141" s="10">
        <f t="shared" si="16"/>
        <v>46140</v>
      </c>
      <c r="B141" s="21" t="s">
        <v>143</v>
      </c>
      <c r="C141" s="22">
        <v>1168062</v>
      </c>
      <c r="D141" s="21" t="s">
        <v>217</v>
      </c>
      <c r="E141" s="23">
        <v>46140</v>
      </c>
      <c r="F141" s="10">
        <f t="shared" ca="1" si="17"/>
        <v>4</v>
      </c>
      <c r="G141" s="23"/>
      <c r="H141" s="10">
        <f t="shared" ca="1" si="18"/>
        <v>0</v>
      </c>
      <c r="I141" s="3"/>
      <c r="J141" s="11"/>
      <c r="K141" s="12" t="s">
        <v>94</v>
      </c>
      <c r="L141" s="12" t="s">
        <v>98</v>
      </c>
      <c r="M141" s="12"/>
      <c r="N141" s="21"/>
      <c r="O141" s="4" t="s">
        <v>219</v>
      </c>
      <c r="P141" s="3" t="s">
        <v>219</v>
      </c>
      <c r="Q141" s="4" t="s">
        <v>219</v>
      </c>
      <c r="R141" s="3" t="s">
        <v>219</v>
      </c>
      <c r="S141" s="3" t="s">
        <v>219</v>
      </c>
      <c r="T141" s="12" t="s">
        <v>101</v>
      </c>
      <c r="U141" s="4" t="s">
        <v>219</v>
      </c>
      <c r="V141" s="3" t="s">
        <v>219</v>
      </c>
      <c r="W141" s="3" t="s">
        <v>219</v>
      </c>
      <c r="X141" s="3" t="s">
        <v>219</v>
      </c>
      <c r="Y141" s="3" t="s">
        <v>219</v>
      </c>
      <c r="Z141" s="11">
        <v>0</v>
      </c>
      <c r="AA141" s="11">
        <f t="shared" si="19"/>
        <v>0</v>
      </c>
      <c r="AB141" s="24"/>
    </row>
    <row r="142" spans="1:28" x14ac:dyDescent="0.3">
      <c r="A142" s="10">
        <f t="shared" si="16"/>
        <v>46142</v>
      </c>
      <c r="B142" s="21" t="s">
        <v>134</v>
      </c>
      <c r="C142" s="22">
        <v>1164619</v>
      </c>
      <c r="D142" s="21" t="s">
        <v>10</v>
      </c>
      <c r="E142" s="23">
        <v>46142</v>
      </c>
      <c r="F142" s="10">
        <f t="shared" ca="1" si="17"/>
        <v>4</v>
      </c>
      <c r="G142" s="23"/>
      <c r="H142" s="10">
        <f t="shared" ca="1" si="18"/>
        <v>0</v>
      </c>
      <c r="I142" s="3"/>
      <c r="J142" s="11"/>
      <c r="K142" s="12" t="s">
        <v>94</v>
      </c>
      <c r="L142" s="12" t="s">
        <v>98</v>
      </c>
      <c r="M142" s="12"/>
      <c r="N142" s="21"/>
      <c r="O142" s="4" t="s">
        <v>219</v>
      </c>
      <c r="P142" s="3" t="s">
        <v>219</v>
      </c>
      <c r="Q142" s="4" t="s">
        <v>219</v>
      </c>
      <c r="R142" s="3" t="s">
        <v>219</v>
      </c>
      <c r="S142" s="3" t="s">
        <v>219</v>
      </c>
      <c r="T142" s="12" t="s">
        <v>101</v>
      </c>
      <c r="U142" s="4" t="s">
        <v>219</v>
      </c>
      <c r="V142" s="3" t="s">
        <v>219</v>
      </c>
      <c r="W142" s="3" t="s">
        <v>219</v>
      </c>
      <c r="X142" s="3" t="s">
        <v>219</v>
      </c>
      <c r="Y142" s="3" t="s">
        <v>219</v>
      </c>
      <c r="Z142" s="11">
        <v>0</v>
      </c>
      <c r="AA142" s="11">
        <f t="shared" si="19"/>
        <v>0</v>
      </c>
      <c r="AB142" s="24"/>
    </row>
    <row r="143" spans="1:28" x14ac:dyDescent="0.3">
      <c r="A143" s="10">
        <f t="shared" si="16"/>
        <v>46142</v>
      </c>
      <c r="B143" s="21" t="s">
        <v>138</v>
      </c>
      <c r="C143" s="22">
        <v>1164621</v>
      </c>
      <c r="D143" s="21" t="s">
        <v>44</v>
      </c>
      <c r="E143" s="23">
        <v>46142</v>
      </c>
      <c r="F143" s="10">
        <f t="shared" ca="1" si="17"/>
        <v>4</v>
      </c>
      <c r="G143" s="23"/>
      <c r="H143" s="10">
        <f t="shared" ca="1" si="18"/>
        <v>0</v>
      </c>
      <c r="I143" s="3"/>
      <c r="J143" s="11"/>
      <c r="K143" s="12" t="s">
        <v>94</v>
      </c>
      <c r="L143" s="12" t="s">
        <v>98</v>
      </c>
      <c r="M143" s="12"/>
      <c r="N143" s="21"/>
      <c r="O143" s="4" t="s">
        <v>219</v>
      </c>
      <c r="P143" s="3" t="s">
        <v>219</v>
      </c>
      <c r="Q143" s="4" t="s">
        <v>219</v>
      </c>
      <c r="R143" s="3" t="s">
        <v>219</v>
      </c>
      <c r="S143" s="3" t="s">
        <v>219</v>
      </c>
      <c r="T143" s="12" t="s">
        <v>101</v>
      </c>
      <c r="U143" s="4" t="s">
        <v>219</v>
      </c>
      <c r="V143" s="3" t="s">
        <v>219</v>
      </c>
      <c r="W143" s="3" t="s">
        <v>219</v>
      </c>
      <c r="X143" s="3" t="s">
        <v>219</v>
      </c>
      <c r="Y143" s="3" t="s">
        <v>219</v>
      </c>
      <c r="Z143" s="11">
        <v>0</v>
      </c>
      <c r="AA143" s="11">
        <f t="shared" si="19"/>
        <v>0</v>
      </c>
      <c r="AB143" s="24"/>
    </row>
    <row r="144" spans="1:28" x14ac:dyDescent="0.3">
      <c r="A144" s="10">
        <f t="shared" si="16"/>
        <v>46146</v>
      </c>
      <c r="B144" s="21" t="s">
        <v>42</v>
      </c>
      <c r="C144" s="22">
        <v>1135911</v>
      </c>
      <c r="D144" s="21" t="s">
        <v>14</v>
      </c>
      <c r="E144" s="23">
        <v>46146</v>
      </c>
      <c r="F144" s="10">
        <f t="shared" ca="1" si="17"/>
        <v>4</v>
      </c>
      <c r="G144" s="23"/>
      <c r="H144" s="10">
        <f t="shared" ca="1" si="18"/>
        <v>0</v>
      </c>
      <c r="I144" s="3"/>
      <c r="J144" s="11"/>
      <c r="K144" s="12" t="s">
        <v>94</v>
      </c>
      <c r="L144" s="12" t="s">
        <v>31</v>
      </c>
      <c r="M144" s="12" t="s">
        <v>175</v>
      </c>
      <c r="N144" s="21"/>
      <c r="O144" s="4" t="s">
        <v>219</v>
      </c>
      <c r="P144" s="3" t="s">
        <v>219</v>
      </c>
      <c r="Q144" s="4" t="s">
        <v>219</v>
      </c>
      <c r="R144" s="3" t="s">
        <v>219</v>
      </c>
      <c r="S144" s="3" t="s">
        <v>219</v>
      </c>
      <c r="T144" s="12" t="s">
        <v>101</v>
      </c>
      <c r="U144" s="4" t="s">
        <v>219</v>
      </c>
      <c r="V144" s="3" t="s">
        <v>219</v>
      </c>
      <c r="W144" s="3" t="s">
        <v>219</v>
      </c>
      <c r="X144" s="3" t="s">
        <v>219</v>
      </c>
      <c r="Y144" s="3" t="s">
        <v>219</v>
      </c>
      <c r="Z144" s="11">
        <v>0</v>
      </c>
      <c r="AA144" s="11">
        <f t="shared" si="19"/>
        <v>0</v>
      </c>
      <c r="AB144" s="24"/>
    </row>
    <row r="145" spans="1:28" x14ac:dyDescent="0.3">
      <c r="A145" s="10">
        <f t="shared" si="16"/>
        <v>46146</v>
      </c>
      <c r="B145" s="21" t="s">
        <v>155</v>
      </c>
      <c r="C145" s="22">
        <v>1166086</v>
      </c>
      <c r="D145" s="21" t="s">
        <v>5</v>
      </c>
      <c r="E145" s="23">
        <v>46146</v>
      </c>
      <c r="F145" s="10">
        <f t="shared" ca="1" si="17"/>
        <v>4</v>
      </c>
      <c r="G145" s="23"/>
      <c r="H145" s="10">
        <f t="shared" ca="1" si="18"/>
        <v>0</v>
      </c>
      <c r="I145" s="3"/>
      <c r="J145" s="11"/>
      <c r="K145" s="12" t="s">
        <v>94</v>
      </c>
      <c r="L145" s="12" t="s">
        <v>98</v>
      </c>
      <c r="M145" s="12"/>
      <c r="N145" s="21"/>
      <c r="O145" s="4" t="s">
        <v>219</v>
      </c>
      <c r="P145" s="3" t="s">
        <v>219</v>
      </c>
      <c r="Q145" s="4" t="s">
        <v>219</v>
      </c>
      <c r="R145" s="3" t="s">
        <v>219</v>
      </c>
      <c r="S145" s="3" t="s">
        <v>219</v>
      </c>
      <c r="T145" s="12" t="s">
        <v>101</v>
      </c>
      <c r="U145" s="4" t="s">
        <v>219</v>
      </c>
      <c r="V145" s="3" t="s">
        <v>219</v>
      </c>
      <c r="W145" s="3" t="s">
        <v>219</v>
      </c>
      <c r="X145" s="3" t="s">
        <v>219</v>
      </c>
      <c r="Y145" s="3" t="s">
        <v>219</v>
      </c>
      <c r="Z145" s="11">
        <v>0</v>
      </c>
      <c r="AA145" s="11">
        <f t="shared" si="19"/>
        <v>0</v>
      </c>
      <c r="AB145" s="24"/>
    </row>
    <row r="146" spans="1:28" x14ac:dyDescent="0.3">
      <c r="A146" s="10">
        <f t="shared" si="16"/>
        <v>46146</v>
      </c>
      <c r="B146" s="21" t="s">
        <v>165</v>
      </c>
      <c r="C146" s="22">
        <v>1166393</v>
      </c>
      <c r="D146" s="21" t="s">
        <v>5</v>
      </c>
      <c r="E146" s="23">
        <v>46146</v>
      </c>
      <c r="F146" s="10">
        <f t="shared" ca="1" si="17"/>
        <v>4</v>
      </c>
      <c r="G146" s="23"/>
      <c r="H146" s="10">
        <f t="shared" ca="1" si="18"/>
        <v>0</v>
      </c>
      <c r="I146" s="3"/>
      <c r="J146" s="11"/>
      <c r="K146" s="12" t="s">
        <v>94</v>
      </c>
      <c r="L146" s="12" t="s">
        <v>98</v>
      </c>
      <c r="M146" s="12"/>
      <c r="N146" s="21"/>
      <c r="O146" s="4" t="s">
        <v>219</v>
      </c>
      <c r="P146" s="3" t="s">
        <v>219</v>
      </c>
      <c r="Q146" s="4" t="s">
        <v>219</v>
      </c>
      <c r="R146" s="3" t="s">
        <v>219</v>
      </c>
      <c r="S146" s="3" t="s">
        <v>219</v>
      </c>
      <c r="T146" s="12" t="s">
        <v>101</v>
      </c>
      <c r="U146" s="4" t="s">
        <v>219</v>
      </c>
      <c r="V146" s="3" t="s">
        <v>219</v>
      </c>
      <c r="W146" s="3" t="s">
        <v>219</v>
      </c>
      <c r="X146" s="3" t="s">
        <v>219</v>
      </c>
      <c r="Y146" s="3" t="s">
        <v>219</v>
      </c>
      <c r="Z146" s="11">
        <v>0</v>
      </c>
      <c r="AA146" s="11">
        <f t="shared" si="19"/>
        <v>0</v>
      </c>
      <c r="AB146" s="24"/>
    </row>
    <row r="147" spans="1:28" x14ac:dyDescent="0.3">
      <c r="A147" s="10">
        <f t="shared" si="16"/>
        <v>46149</v>
      </c>
      <c r="B147" s="21" t="s">
        <v>135</v>
      </c>
      <c r="C147" s="22">
        <v>1164709</v>
      </c>
      <c r="D147" s="21" t="s">
        <v>30</v>
      </c>
      <c r="E147" s="23">
        <v>46149</v>
      </c>
      <c r="F147" s="10">
        <f t="shared" ca="1" si="17"/>
        <v>4</v>
      </c>
      <c r="G147" s="23"/>
      <c r="H147" s="10">
        <f t="shared" ca="1" si="18"/>
        <v>0</v>
      </c>
      <c r="I147" s="3"/>
      <c r="J147" s="11"/>
      <c r="K147" s="12" t="s">
        <v>94</v>
      </c>
      <c r="L147" s="12" t="s">
        <v>98</v>
      </c>
      <c r="M147" s="12"/>
      <c r="N147" s="21"/>
      <c r="O147" s="4" t="s">
        <v>219</v>
      </c>
      <c r="P147" s="3" t="s">
        <v>219</v>
      </c>
      <c r="Q147" s="4" t="s">
        <v>219</v>
      </c>
      <c r="R147" s="3" t="s">
        <v>219</v>
      </c>
      <c r="S147" s="3" t="s">
        <v>219</v>
      </c>
      <c r="T147" s="12" t="s">
        <v>101</v>
      </c>
      <c r="U147" s="4" t="s">
        <v>219</v>
      </c>
      <c r="V147" s="3" t="s">
        <v>219</v>
      </c>
      <c r="W147" s="3" t="s">
        <v>219</v>
      </c>
      <c r="X147" s="3" t="s">
        <v>219</v>
      </c>
      <c r="Y147" s="3" t="s">
        <v>219</v>
      </c>
      <c r="Z147" s="11">
        <v>0</v>
      </c>
      <c r="AA147" s="11">
        <f t="shared" si="19"/>
        <v>0</v>
      </c>
      <c r="AB147" s="24"/>
    </row>
    <row r="148" spans="1:28" x14ac:dyDescent="0.3">
      <c r="A148" s="10">
        <f t="shared" si="16"/>
        <v>46153</v>
      </c>
      <c r="B148" s="21" t="s">
        <v>155</v>
      </c>
      <c r="C148" s="22">
        <v>1166052</v>
      </c>
      <c r="D148" s="21" t="s">
        <v>5</v>
      </c>
      <c r="E148" s="23">
        <v>46153</v>
      </c>
      <c r="F148" s="10">
        <f t="shared" ca="1" si="17"/>
        <v>4</v>
      </c>
      <c r="G148" s="23"/>
      <c r="H148" s="10">
        <f t="shared" ca="1" si="18"/>
        <v>0</v>
      </c>
      <c r="I148" s="3"/>
      <c r="J148" s="11"/>
      <c r="K148" s="12" t="s">
        <v>94</v>
      </c>
      <c r="L148" s="12" t="s">
        <v>98</v>
      </c>
      <c r="M148" s="12"/>
      <c r="N148" s="21"/>
      <c r="O148" s="4" t="s">
        <v>219</v>
      </c>
      <c r="P148" s="3" t="s">
        <v>219</v>
      </c>
      <c r="Q148" s="4" t="s">
        <v>219</v>
      </c>
      <c r="R148" s="3" t="s">
        <v>219</v>
      </c>
      <c r="S148" s="3" t="s">
        <v>219</v>
      </c>
      <c r="T148" s="12" t="s">
        <v>101</v>
      </c>
      <c r="U148" s="4" t="s">
        <v>219</v>
      </c>
      <c r="V148" s="3" t="s">
        <v>219</v>
      </c>
      <c r="W148" s="3" t="s">
        <v>219</v>
      </c>
      <c r="X148" s="3" t="s">
        <v>219</v>
      </c>
      <c r="Y148" s="3" t="s">
        <v>219</v>
      </c>
      <c r="Z148" s="11">
        <v>0</v>
      </c>
      <c r="AA148" s="11">
        <f t="shared" si="19"/>
        <v>0</v>
      </c>
      <c r="AB148" s="24"/>
    </row>
    <row r="149" spans="1:28" x14ac:dyDescent="0.3">
      <c r="A149" s="10">
        <f t="shared" si="16"/>
        <v>46160</v>
      </c>
      <c r="B149" s="21" t="s">
        <v>155</v>
      </c>
      <c r="C149" s="22">
        <v>1166001</v>
      </c>
      <c r="D149" s="21" t="s">
        <v>5</v>
      </c>
      <c r="E149" s="23">
        <v>46160</v>
      </c>
      <c r="F149" s="10">
        <f t="shared" ca="1" si="17"/>
        <v>4</v>
      </c>
      <c r="G149" s="23"/>
      <c r="H149" s="10">
        <f t="shared" ca="1" si="18"/>
        <v>0</v>
      </c>
      <c r="I149" s="3"/>
      <c r="J149" s="11"/>
      <c r="K149" s="12" t="s">
        <v>94</v>
      </c>
      <c r="L149" s="12" t="s">
        <v>98</v>
      </c>
      <c r="M149" s="12"/>
      <c r="N149" s="21"/>
      <c r="O149" s="4" t="s">
        <v>219</v>
      </c>
      <c r="P149" s="3" t="s">
        <v>219</v>
      </c>
      <c r="Q149" s="4" t="s">
        <v>219</v>
      </c>
      <c r="R149" s="3" t="s">
        <v>219</v>
      </c>
      <c r="S149" s="3" t="s">
        <v>219</v>
      </c>
      <c r="T149" s="12" t="s">
        <v>101</v>
      </c>
      <c r="U149" s="4" t="s">
        <v>219</v>
      </c>
      <c r="V149" s="3" t="s">
        <v>219</v>
      </c>
      <c r="W149" s="3" t="s">
        <v>219</v>
      </c>
      <c r="X149" s="3" t="s">
        <v>219</v>
      </c>
      <c r="Y149" s="3" t="s">
        <v>219</v>
      </c>
      <c r="Z149" s="11">
        <v>0</v>
      </c>
      <c r="AA149" s="11">
        <f t="shared" si="19"/>
        <v>0</v>
      </c>
      <c r="AB149" s="24"/>
    </row>
  </sheetData>
  <autoFilter ref="A1:AB149" xr:uid="{FACB915F-3ACF-44DB-963B-3EEEC4435BCB}"/>
  <dataConsolidate/>
  <conditionalFormatting sqref="A2:A4 A7:A32 A34:A40">
    <cfRule type="iconSet" priority="3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5">
    <cfRule type="iconSet" priority="2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6">
    <cfRule type="iconSet" priority="2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33">
    <cfRule type="iconSet" priority="1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41:A137">
    <cfRule type="iconSet" priority="1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138">
    <cfRule type="iconSet" priority="8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A139:A149">
    <cfRule type="iconSet" priority="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2:F4 F7:F32 F34:F40">
    <cfRule type="iconSet" priority="3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5">
    <cfRule type="iconSet" priority="2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6">
    <cfRule type="iconSet" priority="2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33">
    <cfRule type="iconSet" priority="14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41:F137">
    <cfRule type="iconSet" priority="16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138">
    <cfRule type="iconSet" priority="10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F139:F149">
    <cfRule type="iconSet" priority="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2:H4 H7:H32 H34:H40">
    <cfRule type="iconSet" priority="3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5">
    <cfRule type="iconSet" priority="2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6">
    <cfRule type="iconSet" priority="22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33">
    <cfRule type="iconSet" priority="13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41:H137">
    <cfRule type="iconSet" priority="15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138">
    <cfRule type="iconSet" priority="7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H139:H149">
    <cfRule type="iconSet" priority="1">
      <iconSet iconSet="5Rating" showValue="0">
        <cfvo type="percent" val="0"/>
        <cfvo type="num" val="1"/>
        <cfvo type="num" val="2"/>
        <cfvo type="num" val="3"/>
        <cfvo type="num" val="4"/>
      </iconSet>
    </cfRule>
  </conditionalFormatting>
  <pageMargins left="0.19685039370078741" right="0" top="0.19685039370078741" bottom="0" header="0" footer="0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------- Takip Sistemi -------</vt:lpstr>
      <vt:lpstr>'------- Takip Sistemi -------'!Yazdırma_Alanı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FIRAT OVALIOĞLU</cp:lastModifiedBy>
  <cp:lastPrinted>2026-03-25T14:57:18Z</cp:lastPrinted>
  <dcterms:created xsi:type="dcterms:W3CDTF">2025-11-29T06:51:50Z</dcterms:created>
  <dcterms:modified xsi:type="dcterms:W3CDTF">2026-04-05T10:32:19Z</dcterms:modified>
</cp:coreProperties>
</file>